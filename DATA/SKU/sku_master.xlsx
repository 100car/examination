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U" sheetId="1" state="visible" r:id="rId3"/>
    <sheet name="Name" sheetId="2" state="visible" r:id="rId4"/>
    <sheet name="Mapping" sheetId="3" state="visible" r:id="rId5"/>
    <sheet name="Help" sheetId="4" state="visible" r:id="rId6"/>
    <sheet name="New" sheetId="5" state="visible" r:id="rId7"/>
  </sheets>
  <definedNames>
    <definedName function="false" hidden="true" localSheetId="0" name="_xlnm._FilterDatabase" vbProcedure="false">SKU!$A$1:$H$1248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<sst xmlns="http://schemas.openxmlformats.org/spreadsheetml/2006/main" count="3007" uniqueCount="1589">
  <si>
    <t xml:space="preserve">SKU (ключ, унікальний)</t>
  </si>
  <si>
    <t xml:space="preserve">Name</t>
  </si>
  <si>
    <t xml:space="preserve">Brand</t>
  </si>
  <si>
    <t xml:space="preserve">Group1</t>
  </si>
  <si>
    <t xml:space="preserve">Group2</t>
  </si>
  <si>
    <t xml:space="preserve">UOM</t>
  </si>
  <si>
    <t xml:space="preserve">AssemblyQty</t>
  </si>
  <si>
    <t xml:space="preserve">Normalized-UA</t>
  </si>
  <si>
    <t xml:space="preserve">PR-CHE-49-1405-000-SET</t>
  </si>
  <si>
    <t xml:space="preserve">19-1405-000</t>
  </si>
  <si>
    <t xml:space="preserve">set</t>
  </si>
  <si>
    <t xml:space="preserve">PR-CHE-49-1405-025-SET</t>
  </si>
  <si>
    <t xml:space="preserve">19-1405-025</t>
  </si>
  <si>
    <t xml:space="preserve">PR-CHE-49-1405-050-SET</t>
  </si>
  <si>
    <t xml:space="preserve">19-1405-050</t>
  </si>
  <si>
    <t xml:space="preserve">PR-CHE-49-1590-000-SET</t>
  </si>
  <si>
    <t xml:space="preserve">19-1590-000</t>
  </si>
  <si>
    <t xml:space="preserve">PR-CHE-49-1590-025-SET</t>
  </si>
  <si>
    <t xml:space="preserve">19-1590-025</t>
  </si>
  <si>
    <t xml:space="preserve">PR-CHE-49-1590-050-SET</t>
  </si>
  <si>
    <t xml:space="preserve">19-1590-050</t>
  </si>
  <si>
    <t xml:space="preserve">PR-CHE-47-3549-000-SET</t>
  </si>
  <si>
    <t xml:space="preserve">17-3549-000</t>
  </si>
  <si>
    <t xml:space="preserve">PR-CHE-47-3549-025-SET</t>
  </si>
  <si>
    <t xml:space="preserve">17-3549-025</t>
  </si>
  <si>
    <t xml:space="preserve">PR-CHE-47-3549-050-SET</t>
  </si>
  <si>
    <t xml:space="preserve">17-3549-050</t>
  </si>
  <si>
    <t xml:space="preserve">PR-CHE-49-3549-000-SET</t>
  </si>
  <si>
    <t xml:space="preserve">19-3549-000</t>
  </si>
  <si>
    <t xml:space="preserve">PR-CHE-49-3549-025-SET</t>
  </si>
  <si>
    <t xml:space="preserve">19-3549-025</t>
  </si>
  <si>
    <t xml:space="preserve">PR-CHE-49-3549-050-SET</t>
  </si>
  <si>
    <t xml:space="preserve">19-3549-050</t>
  </si>
  <si>
    <t xml:space="preserve">PR-CHE-49-3549-075-SET</t>
  </si>
  <si>
    <t xml:space="preserve">19-3549-075</t>
  </si>
  <si>
    <t xml:space="preserve">PR-CHE-49-3549-100-SET</t>
  </si>
  <si>
    <t xml:space="preserve">19-3549-100</t>
  </si>
  <si>
    <t xml:space="preserve">PR-CUM-44-0812-000-SET</t>
  </si>
  <si>
    <t xml:space="preserve">14-0812-000</t>
  </si>
  <si>
    <t xml:space="preserve">PR-CUM-44-0812-050-SET</t>
  </si>
  <si>
    <t xml:space="preserve">14-0812-050</t>
  </si>
  <si>
    <t xml:space="preserve">PR-DAE-37-1401-000-SET</t>
  </si>
  <si>
    <t xml:space="preserve">17-1401-000</t>
  </si>
  <si>
    <t xml:space="preserve">PR-DAE-37-1401-025-SET</t>
  </si>
  <si>
    <t xml:space="preserve">17-1401-025</t>
  </si>
  <si>
    <t xml:space="preserve">PR-DAE-37-1401-050-SET</t>
  </si>
  <si>
    <t xml:space="preserve">17-1401-050</t>
  </si>
  <si>
    <t xml:space="preserve">PR-DAE-37-1401-075-SET</t>
  </si>
  <si>
    <t xml:space="preserve">17-1401-075</t>
  </si>
  <si>
    <t xml:space="preserve">PR-DAE-37-1401-100-SET</t>
  </si>
  <si>
    <t xml:space="preserve">17-1401-100</t>
  </si>
  <si>
    <t xml:space="preserve">PR-DAE-39-1401-000-SET</t>
  </si>
  <si>
    <t xml:space="preserve">19-1401-000</t>
  </si>
  <si>
    <t xml:space="preserve">PR-DAE-39-1401-025-SET</t>
  </si>
  <si>
    <t xml:space="preserve">19-1401-025</t>
  </si>
  <si>
    <t xml:space="preserve">PR-DAE-39-1401-050-SET</t>
  </si>
  <si>
    <t xml:space="preserve">19-1401-050</t>
  </si>
  <si>
    <t xml:space="preserve">PR-DAE-39-1401-075-SET</t>
  </si>
  <si>
    <t xml:space="preserve">19-1401-075</t>
  </si>
  <si>
    <t xml:space="preserve">PR-DAE-39-1401-100-SET</t>
  </si>
  <si>
    <t xml:space="preserve">19-1401-100</t>
  </si>
  <si>
    <t xml:space="preserve">PR-DAE-37-1402-000-SET</t>
  </si>
  <si>
    <t xml:space="preserve">17-1402-000</t>
  </si>
  <si>
    <t xml:space="preserve">PR-DAE-47-1402-000-SET</t>
  </si>
  <si>
    <t xml:space="preserve">PR-DAE-47-1402-025-SET</t>
  </si>
  <si>
    <t xml:space="preserve">17-1402-025</t>
  </si>
  <si>
    <t xml:space="preserve">PR-DAE-47-1402-050-SET</t>
  </si>
  <si>
    <t xml:space="preserve">17-1402-050</t>
  </si>
  <si>
    <t xml:space="preserve">PR-DAE-39-1402-000-SET</t>
  </si>
  <si>
    <t xml:space="preserve">19-1402-000</t>
  </si>
  <si>
    <t xml:space="preserve">PR-DAE-49-1402-000-SET</t>
  </si>
  <si>
    <t xml:space="preserve">PR-DAE-39-1402-025-SET</t>
  </si>
  <si>
    <t xml:space="preserve">19-1402-025</t>
  </si>
  <si>
    <t xml:space="preserve">PR-DAE-49-1402-025-SET</t>
  </si>
  <si>
    <t xml:space="preserve">PR-DAE-39-1402-050-SET</t>
  </si>
  <si>
    <t xml:space="preserve">19-1402-050</t>
  </si>
  <si>
    <t xml:space="preserve">PR-DAE-49-1402-050-SET</t>
  </si>
  <si>
    <t xml:space="preserve">PR-DAE-39-1402-075-SET</t>
  </si>
  <si>
    <t xml:space="preserve">19-1402-075</t>
  </si>
  <si>
    <t xml:space="preserve">PR-DAE-49-1402-075-SET</t>
  </si>
  <si>
    <t xml:space="preserve">PR-DAE-39-1402-100-SET</t>
  </si>
  <si>
    <t xml:space="preserve">19-1402-100</t>
  </si>
  <si>
    <t xml:space="preserve">PR-DAE-49-1402-100-SET</t>
  </si>
  <si>
    <t xml:space="preserve">PR-DAE-47-3538-000-SET</t>
  </si>
  <si>
    <t xml:space="preserve">17-3538-000</t>
  </si>
  <si>
    <t xml:space="preserve">PR-DAE-47-3538-025-SET</t>
  </si>
  <si>
    <t xml:space="preserve">17-3538-025</t>
  </si>
  <si>
    <t xml:space="preserve">PR-DAE-47-3538-050-SET</t>
  </si>
  <si>
    <t xml:space="preserve">17-3538-050</t>
  </si>
  <si>
    <t xml:space="preserve">PR-DAE-49-3538-000-SET</t>
  </si>
  <si>
    <t xml:space="preserve">19-3538-000</t>
  </si>
  <si>
    <t xml:space="preserve">PR-DAE-49-3538-025-SET</t>
  </si>
  <si>
    <t xml:space="preserve">19-3538-025</t>
  </si>
  <si>
    <t xml:space="preserve">PR-DAE-49-3538-050-SET</t>
  </si>
  <si>
    <t xml:space="preserve">19-3538-050</t>
  </si>
  <si>
    <t xml:space="preserve">PR-DAE-49-3538-075-SET</t>
  </si>
  <si>
    <t xml:space="preserve">19-3538-075</t>
  </si>
  <si>
    <t xml:space="preserve">PR-DAE-49-3538-100-SET</t>
  </si>
  <si>
    <t xml:space="preserve">19-3538-100</t>
  </si>
  <si>
    <t xml:space="preserve">PR-DAE-47-3548-000-SET</t>
  </si>
  <si>
    <t xml:space="preserve">17-3548-000</t>
  </si>
  <si>
    <t xml:space="preserve">PR-DAE-47-3548-025-SET</t>
  </si>
  <si>
    <t xml:space="preserve">17-3548-025</t>
  </si>
  <si>
    <t xml:space="preserve">PR-DAE-47-3548-050-SET</t>
  </si>
  <si>
    <t xml:space="preserve">17-3548-050</t>
  </si>
  <si>
    <t xml:space="preserve">PR-DAE-47-3548-075-SET</t>
  </si>
  <si>
    <t xml:space="preserve">17-3548-075</t>
  </si>
  <si>
    <t xml:space="preserve">PR-DAE-47-3548-100-SET</t>
  </si>
  <si>
    <t xml:space="preserve">17-3548-100</t>
  </si>
  <si>
    <t xml:space="preserve">PR-DAE-49-3548-000-SET</t>
  </si>
  <si>
    <t xml:space="preserve">19-3548-000</t>
  </si>
  <si>
    <t xml:space="preserve">PR-DAE-49-3548-025-SET</t>
  </si>
  <si>
    <t xml:space="preserve">19-3548-025</t>
  </si>
  <si>
    <t xml:space="preserve">PR-DAE-49-3548-050-SET</t>
  </si>
  <si>
    <t xml:space="preserve">19-3548-050</t>
  </si>
  <si>
    <t xml:space="preserve">PR-DAE-49-3548-075-SET</t>
  </si>
  <si>
    <t xml:space="preserve">19-3548-075</t>
  </si>
  <si>
    <t xml:space="preserve">PR-DAE-49-3548-100-SET</t>
  </si>
  <si>
    <t xml:space="preserve">19-3548-100</t>
  </si>
  <si>
    <t xml:space="preserve">PR-KAM-14-4802-000-1</t>
  </si>
  <si>
    <t xml:space="preserve">14-4802-000</t>
  </si>
  <si>
    <t xml:space="preserve">PR-KAM-84-4802-000-SET</t>
  </si>
  <si>
    <t xml:space="preserve">PR-KAM-84-4805-000-SET</t>
  </si>
  <si>
    <t xml:space="preserve">14-4805-000</t>
  </si>
  <si>
    <t xml:space="preserve">PR-KAM-14-4806-000-2</t>
  </si>
  <si>
    <t xml:space="preserve">14-4806-000</t>
  </si>
  <si>
    <t xml:space="preserve">PR-KAM-84-4806-000-SET</t>
  </si>
  <si>
    <t xml:space="preserve">PR-KAM-87-4806-000-SET</t>
  </si>
  <si>
    <t xml:space="preserve">17-4806-000</t>
  </si>
  <si>
    <t xml:space="preserve">PR-LAD-44-2802-000-SET</t>
  </si>
  <si>
    <t xml:space="preserve">14-2802-000</t>
  </si>
  <si>
    <t xml:space="preserve">PR-LAD-44-2802-020-SET</t>
  </si>
  <si>
    <t xml:space="preserve">14-2802-020</t>
  </si>
  <si>
    <t xml:space="preserve">PR-LAD-44-2802-040-SET</t>
  </si>
  <si>
    <t xml:space="preserve">14-2802-040</t>
  </si>
  <si>
    <t xml:space="preserve">PR-LAD-44-2802-060-SET</t>
  </si>
  <si>
    <t xml:space="preserve">14-2802-060</t>
  </si>
  <si>
    <t xml:space="preserve">PR-LAD-44-2802-080-SET</t>
  </si>
  <si>
    <t xml:space="preserve">14-2802-080</t>
  </si>
  <si>
    <t xml:space="preserve">PR-LAD-44-2802-100-SET</t>
  </si>
  <si>
    <t xml:space="preserve">14-2802-100</t>
  </si>
  <si>
    <t xml:space="preserve">PR-LAD-47-2802-000-SET</t>
  </si>
  <si>
    <t xml:space="preserve">17-2802-000</t>
  </si>
  <si>
    <t xml:space="preserve">PR-LAD-47-2802-040-SET</t>
  </si>
  <si>
    <t xml:space="preserve">17-2802-040</t>
  </si>
  <si>
    <t xml:space="preserve">PR-LAD-47-2802-080-SET</t>
  </si>
  <si>
    <t xml:space="preserve">17-2802-080</t>
  </si>
  <si>
    <t xml:space="preserve">PR-LAD-49-2802-000-SET</t>
  </si>
  <si>
    <t xml:space="preserve">19-2802-000</t>
  </si>
  <si>
    <t xml:space="preserve">PR-LAD-49-2802-040-SET</t>
  </si>
  <si>
    <t xml:space="preserve">19-2802-040</t>
  </si>
  <si>
    <t xml:space="preserve">PR-LAD-49-2802-080-SET</t>
  </si>
  <si>
    <t xml:space="preserve">19-2802-080</t>
  </si>
  <si>
    <t xml:space="preserve">PR-LAD-44-2803-000-SET</t>
  </si>
  <si>
    <t xml:space="preserve">14-2803-000</t>
  </si>
  <si>
    <t xml:space="preserve">PR-LAD-44-2803-040-SET</t>
  </si>
  <si>
    <t xml:space="preserve">14-2803-040</t>
  </si>
  <si>
    <t xml:space="preserve">PR-LAD-44-2803-070-SET</t>
  </si>
  <si>
    <t xml:space="preserve">14-2803-070</t>
  </si>
  <si>
    <t xml:space="preserve">PR-LAD-44-2803-080-SET</t>
  </si>
  <si>
    <t xml:space="preserve">14-2803-080</t>
  </si>
  <si>
    <t xml:space="preserve">PR-LAD-44-2803-100-SET</t>
  </si>
  <si>
    <t xml:space="preserve">14-2803-100</t>
  </si>
  <si>
    <t xml:space="preserve">PR-LAD-47-2803-000-SET</t>
  </si>
  <si>
    <t xml:space="preserve">17-2803-000</t>
  </si>
  <si>
    <t xml:space="preserve">PR-LAD-47-2803-040-SET</t>
  </si>
  <si>
    <t xml:space="preserve">17-2803-040</t>
  </si>
  <si>
    <t xml:space="preserve">PR-LAD-47-2803-080-SET</t>
  </si>
  <si>
    <t xml:space="preserve">17-2803-080</t>
  </si>
  <si>
    <t xml:space="preserve">PR-LAD-47-2803-100-SET</t>
  </si>
  <si>
    <t xml:space="preserve">17-2803-100</t>
  </si>
  <si>
    <t xml:space="preserve">PR-LAD-49-2803-000-SET</t>
  </si>
  <si>
    <t xml:space="preserve">19-2803-000</t>
  </si>
  <si>
    <t xml:space="preserve">PR-LAD-49-2803-040-SET</t>
  </si>
  <si>
    <t xml:space="preserve">19-2803-040</t>
  </si>
  <si>
    <t xml:space="preserve">PR-LAD-49-2803-070-SET</t>
  </si>
  <si>
    <t xml:space="preserve">19-2803-070</t>
  </si>
  <si>
    <t xml:space="preserve">PR-LAD-49-2803-080-SET</t>
  </si>
  <si>
    <t xml:space="preserve">19-2803-080</t>
  </si>
  <si>
    <t xml:space="preserve">PR-LAD-49-2803-100-SET</t>
  </si>
  <si>
    <t xml:space="preserve">19-2803-100</t>
  </si>
  <si>
    <t xml:space="preserve">PR-LAD-44-2804-000-SET</t>
  </si>
  <si>
    <t xml:space="preserve">14-2804-000</t>
  </si>
  <si>
    <t xml:space="preserve">PR-LAD-44-2804-040-SET</t>
  </si>
  <si>
    <t xml:space="preserve">14-2804-040</t>
  </si>
  <si>
    <t xml:space="preserve">PR-LAD-44-2804-080-SET</t>
  </si>
  <si>
    <t xml:space="preserve">14-2804-080</t>
  </si>
  <si>
    <t xml:space="preserve">PR-LAD-44-2804-100-SET</t>
  </si>
  <si>
    <t xml:space="preserve">14-2804-100</t>
  </si>
  <si>
    <t xml:space="preserve">PR-LAD-47-2804-000-SET</t>
  </si>
  <si>
    <t xml:space="preserve">17-2804-000</t>
  </si>
  <si>
    <t xml:space="preserve">PR-LAD-47-2804-040-SET</t>
  </si>
  <si>
    <t xml:space="preserve">17-2804-040</t>
  </si>
  <si>
    <t xml:space="preserve">PR-LAD-47-2804-080-SET</t>
  </si>
  <si>
    <t xml:space="preserve">17-2804-080</t>
  </si>
  <si>
    <t xml:space="preserve">PR-LAD-49-2804-000-SET</t>
  </si>
  <si>
    <t xml:space="preserve">19-2804-000</t>
  </si>
  <si>
    <t xml:space="preserve">PR-LAD-49-2804-040-SET</t>
  </si>
  <si>
    <t xml:space="preserve">19-2804-040</t>
  </si>
  <si>
    <t xml:space="preserve">PR-LAD-49-2804-080-SET</t>
  </si>
  <si>
    <t xml:space="preserve">19-2804-080</t>
  </si>
  <si>
    <t xml:space="preserve">PR-LAD-47-2805-000-SET</t>
  </si>
  <si>
    <t xml:space="preserve">17-2805-000</t>
  </si>
  <si>
    <t xml:space="preserve">PR-LAD-47-2805-025-SET</t>
  </si>
  <si>
    <t xml:space="preserve">17-2805-025</t>
  </si>
  <si>
    <t xml:space="preserve">PR-LAD-47-2805-050-SET</t>
  </si>
  <si>
    <t xml:space="preserve">17-2805-050</t>
  </si>
  <si>
    <t xml:space="preserve">PR-LAD-47-2805-100-SET</t>
  </si>
  <si>
    <t xml:space="preserve">17-2805-100</t>
  </si>
  <si>
    <t xml:space="preserve">PR-LAD-48-2805-000-SET</t>
  </si>
  <si>
    <t xml:space="preserve">18-2805-000</t>
  </si>
  <si>
    <t xml:space="preserve">PR-LAD-48-2805-050-SET</t>
  </si>
  <si>
    <t xml:space="preserve">18-2805-050</t>
  </si>
  <si>
    <t xml:space="preserve">PR-LAD-48-2805-100-SET</t>
  </si>
  <si>
    <t xml:space="preserve">18-2805-100</t>
  </si>
  <si>
    <t xml:space="preserve">PR-LAD-49-2805-000-SET</t>
  </si>
  <si>
    <t xml:space="preserve">19-2805-000</t>
  </si>
  <si>
    <t xml:space="preserve">PR-LAD-49-2805-025-SET</t>
  </si>
  <si>
    <t xml:space="preserve">19-2805-025</t>
  </si>
  <si>
    <t xml:space="preserve">PR-LAD-49-2805-050-SET</t>
  </si>
  <si>
    <t xml:space="preserve">19-2805-050</t>
  </si>
  <si>
    <t xml:space="preserve">PR-LAD-49-2805-075-SET</t>
  </si>
  <si>
    <t xml:space="preserve">19-2805-075</t>
  </si>
  <si>
    <t xml:space="preserve">PR-LAD-49-2805-100-SET</t>
  </si>
  <si>
    <t xml:space="preserve">19-2805-100</t>
  </si>
  <si>
    <t xml:space="preserve">PR-LAD-48-2806-000-SET</t>
  </si>
  <si>
    <t xml:space="preserve">18-2806-000</t>
  </si>
  <si>
    <t xml:space="preserve">PR-LAD-48-2806-050-SET</t>
  </si>
  <si>
    <t xml:space="preserve">18-2806-050</t>
  </si>
  <si>
    <t xml:space="preserve">PR-LAD-48-2806-100-SET</t>
  </si>
  <si>
    <t xml:space="preserve">18-2806-100</t>
  </si>
  <si>
    <t xml:space="preserve">PR-LAD-49-2806-000-SET</t>
  </si>
  <si>
    <t xml:space="preserve">19-2806-000</t>
  </si>
  <si>
    <t xml:space="preserve">PR-LAD-49-2806-050-SET</t>
  </si>
  <si>
    <t xml:space="preserve">19-2806-050</t>
  </si>
  <si>
    <t xml:space="preserve">PR-LAD-49-2806-100-SET</t>
  </si>
  <si>
    <t xml:space="preserve">19-2806-100</t>
  </si>
  <si>
    <t xml:space="preserve">PR-MOS-44-4852-000-SET</t>
  </si>
  <si>
    <t xml:space="preserve">14-4852-000</t>
  </si>
  <si>
    <t xml:space="preserve">PR-MOS-44-4852-050-SET</t>
  </si>
  <si>
    <t xml:space="preserve">14-4852-050</t>
  </si>
  <si>
    <t xml:space="preserve">PR-MOS-44-4852-100-SET</t>
  </si>
  <si>
    <t xml:space="preserve">14-4852-100</t>
  </si>
  <si>
    <t xml:space="preserve">PR-MOS-49-4852-000-SET</t>
  </si>
  <si>
    <t xml:space="preserve">19-4852-000</t>
  </si>
  <si>
    <t xml:space="preserve">PR-MOS-49-4852-050-SET</t>
  </si>
  <si>
    <t xml:space="preserve">19-4852-050</t>
  </si>
  <si>
    <t xml:space="preserve">PR-MOS-49-4852-100-SET</t>
  </si>
  <si>
    <t xml:space="preserve">19-4852-100</t>
  </si>
  <si>
    <t xml:space="preserve">PR-MOS-44-4855-000-SET</t>
  </si>
  <si>
    <t xml:space="preserve">14-4855-000</t>
  </si>
  <si>
    <t xml:space="preserve">PR-MOS-44-4855-050-SET</t>
  </si>
  <si>
    <t xml:space="preserve">14-4855-050</t>
  </si>
  <si>
    <t xml:space="preserve">PR-MOS-49-4855-000-SET</t>
  </si>
  <si>
    <t xml:space="preserve">19-4855-000</t>
  </si>
  <si>
    <t xml:space="preserve">PR-MOS-49-4855-050-SET</t>
  </si>
  <si>
    <t xml:space="preserve">19-4855-050</t>
  </si>
  <si>
    <t xml:space="preserve">PR-MTZ-14-5950-000-4</t>
  </si>
  <si>
    <t xml:space="preserve">14-5950-000</t>
  </si>
  <si>
    <t xml:space="preserve">PR-MTZ-44-5950-000-SET</t>
  </si>
  <si>
    <t xml:space="preserve">PR-MTZ-14-5950-070-4</t>
  </si>
  <si>
    <t xml:space="preserve">14-5950-070</t>
  </si>
  <si>
    <t xml:space="preserve">PR-MTZ-44-5950-070-SET</t>
  </si>
  <si>
    <t xml:space="preserve">PR-MTZ-44-5951-000-SET</t>
  </si>
  <si>
    <t xml:space="preserve">14-5951-000</t>
  </si>
  <si>
    <t xml:space="preserve">PR-MTZ-44-5951-070-SET</t>
  </si>
  <si>
    <t xml:space="preserve">14-5951-070</t>
  </si>
  <si>
    <t xml:space="preserve">PR-MTZ-44-5952-000-SET</t>
  </si>
  <si>
    <t xml:space="preserve">14-5952-000</t>
  </si>
  <si>
    <t xml:space="preserve">PR-MTZ-44-5953-000-SET</t>
  </si>
  <si>
    <t xml:space="preserve">14-5953-000</t>
  </si>
  <si>
    <t xml:space="preserve">PR-RAV-47-5901-000-SET</t>
  </si>
  <si>
    <t xml:space="preserve">17-5901-000</t>
  </si>
  <si>
    <t xml:space="preserve">PR-RAV-47-5901-025-SET</t>
  </si>
  <si>
    <t xml:space="preserve">17-5901-025</t>
  </si>
  <si>
    <t xml:space="preserve">PR-RAV-47-5901-050-SET</t>
  </si>
  <si>
    <t xml:space="preserve">17-5901-050</t>
  </si>
  <si>
    <t xml:space="preserve">PR-RAV-49-5901-000-SET</t>
  </si>
  <si>
    <t xml:space="preserve">19-5901-000</t>
  </si>
  <si>
    <t xml:space="preserve">PR-RAV-49-5901-025-SET</t>
  </si>
  <si>
    <t xml:space="preserve">19-5901-025</t>
  </si>
  <si>
    <t xml:space="preserve">PR-RAV-49-5901-050-SET</t>
  </si>
  <si>
    <t xml:space="preserve">19-5901-050</t>
  </si>
  <si>
    <t xml:space="preserve">PR-RAV-47-5902-000-SET</t>
  </si>
  <si>
    <t xml:space="preserve">17-5902-000</t>
  </si>
  <si>
    <t xml:space="preserve">PR-RAV-47-5902-025-SET</t>
  </si>
  <si>
    <t xml:space="preserve">17-5902-025</t>
  </si>
  <si>
    <t xml:space="preserve">PR-RAV-47-5902-050-SET</t>
  </si>
  <si>
    <t xml:space="preserve">17-5902-050</t>
  </si>
  <si>
    <t xml:space="preserve">PR-RAV-49-5902-000-SET</t>
  </si>
  <si>
    <t xml:space="preserve">19-5902-000</t>
  </si>
  <si>
    <t xml:space="preserve">PR-RAV-49-5902-025-SET</t>
  </si>
  <si>
    <t xml:space="preserve">19-5902-025</t>
  </si>
  <si>
    <t xml:space="preserve">PR-RAV-49-5902-050-SET</t>
  </si>
  <si>
    <t xml:space="preserve">19-5902-050</t>
  </si>
  <si>
    <t xml:space="preserve">PR-REN-44-3841-000-SET</t>
  </si>
  <si>
    <t xml:space="preserve">14-3841-000</t>
  </si>
  <si>
    <t xml:space="preserve">PR-REN-44-3841-025-SET</t>
  </si>
  <si>
    <t xml:space="preserve">14-3841-025</t>
  </si>
  <si>
    <t xml:space="preserve">PR-REN-44-3841-050-SET</t>
  </si>
  <si>
    <t xml:space="preserve">14-3841-050</t>
  </si>
  <si>
    <t xml:space="preserve">PR-REN-44-3841-075-SET</t>
  </si>
  <si>
    <t xml:space="preserve">14-3841-075</t>
  </si>
  <si>
    <t xml:space="preserve">PR-REN-44-3841-100-SET</t>
  </si>
  <si>
    <t xml:space="preserve">14-3841-100</t>
  </si>
  <si>
    <t xml:space="preserve">PR-REN-47-3841-000-SET</t>
  </si>
  <si>
    <t xml:space="preserve">17-3841-000</t>
  </si>
  <si>
    <t xml:space="preserve">PR-REN-47-3841-025-SET</t>
  </si>
  <si>
    <t xml:space="preserve">17-3841-025</t>
  </si>
  <si>
    <t xml:space="preserve">PR-REN-47-3841-050-SET</t>
  </si>
  <si>
    <t xml:space="preserve">17-3841-050</t>
  </si>
  <si>
    <t xml:space="preserve">PR-REN-47-3841-100-SET</t>
  </si>
  <si>
    <t xml:space="preserve">17-3841-100</t>
  </si>
  <si>
    <t xml:space="preserve">PR-REN-49-3841-000-SET</t>
  </si>
  <si>
    <t xml:space="preserve">19-3841-000</t>
  </si>
  <si>
    <t xml:space="preserve">PR-REN-49-3841-025-SET</t>
  </si>
  <si>
    <t xml:space="preserve">19-3841-025</t>
  </si>
  <si>
    <t xml:space="preserve">PR-REN-49-3841-050-SET</t>
  </si>
  <si>
    <t xml:space="preserve">19-3841-050</t>
  </si>
  <si>
    <t xml:space="preserve">PR-REN-49-3841-075-SET</t>
  </si>
  <si>
    <t xml:space="preserve">19-3841-075</t>
  </si>
  <si>
    <t xml:space="preserve">PR-REN-49-3841-100-SET</t>
  </si>
  <si>
    <t xml:space="preserve">19-3841-100</t>
  </si>
  <si>
    <t xml:space="preserve">PR-SEN-44-4125-000-SET</t>
  </si>
  <si>
    <t xml:space="preserve">14-4125-000</t>
  </si>
  <si>
    <t xml:space="preserve">PR-SEN-44-4125-025-SET</t>
  </si>
  <si>
    <t xml:space="preserve">14-4125-025</t>
  </si>
  <si>
    <t xml:space="preserve">PR-SEN-44-4125-050-SET</t>
  </si>
  <si>
    <t xml:space="preserve">14-4125-050</t>
  </si>
  <si>
    <t xml:space="preserve">PR-SEN-49-4125-000-SET</t>
  </si>
  <si>
    <t xml:space="preserve">19-4125-000</t>
  </si>
  <si>
    <t xml:space="preserve">PR-SEN-49-4125-025-SET</t>
  </si>
  <si>
    <t xml:space="preserve">19-4125-025</t>
  </si>
  <si>
    <t xml:space="preserve">PR-SEN-49-4125-050-SET</t>
  </si>
  <si>
    <t xml:space="preserve">19-4125-050</t>
  </si>
  <si>
    <t xml:space="preserve">PR-SEN-44-4126-000-SET</t>
  </si>
  <si>
    <t xml:space="preserve">14-4126-000</t>
  </si>
  <si>
    <t xml:space="preserve">PR-SEN-44-4126-025-SET</t>
  </si>
  <si>
    <t xml:space="preserve">14-4126-025</t>
  </si>
  <si>
    <t xml:space="preserve">PR-SEN-44-4126-050-SET</t>
  </si>
  <si>
    <t xml:space="preserve">14-4126-050</t>
  </si>
  <si>
    <t xml:space="preserve">PR-SEN-49-4126-000-SET</t>
  </si>
  <si>
    <t xml:space="preserve">19-4126-000</t>
  </si>
  <si>
    <t xml:space="preserve">PR-SEN-49-4126-025-SET</t>
  </si>
  <si>
    <t xml:space="preserve">19-4126-025</t>
  </si>
  <si>
    <t xml:space="preserve">PR-SEN-49-4126-050-SET</t>
  </si>
  <si>
    <t xml:space="preserve">19-4126-050</t>
  </si>
  <si>
    <t xml:space="preserve">PR-SMD-44-0143-000-SET</t>
  </si>
  <si>
    <t xml:space="preserve">14-0143-000</t>
  </si>
  <si>
    <t xml:space="preserve">PR-SMD-44-0143-070-SET</t>
  </si>
  <si>
    <t xml:space="preserve">14-0143-070</t>
  </si>
  <si>
    <t xml:space="preserve">PR-SMD-44-0144-000-SET</t>
  </si>
  <si>
    <t xml:space="preserve">14-0144-000</t>
  </si>
  <si>
    <t xml:space="preserve">PR-SMD-44-0144-070-SET</t>
  </si>
  <si>
    <t xml:space="preserve">14-0144-070</t>
  </si>
  <si>
    <t xml:space="preserve">PR-SPR-24-0060-000-SET</t>
  </si>
  <si>
    <t xml:space="preserve">14-0060-000</t>
  </si>
  <si>
    <t xml:space="preserve">PR-SPR-24-0060-040-SET</t>
  </si>
  <si>
    <t xml:space="preserve">14-0060-040</t>
  </si>
  <si>
    <t xml:space="preserve">PR-SPR-24-0060-080-SET</t>
  </si>
  <si>
    <t xml:space="preserve">14-0060-080</t>
  </si>
  <si>
    <t xml:space="preserve">PR-SPR-24-0092-000-SET</t>
  </si>
  <si>
    <t xml:space="preserve">14-0092-000</t>
  </si>
  <si>
    <t xml:space="preserve">PR-TAV-44-4120-000-SET</t>
  </si>
  <si>
    <t xml:space="preserve">14-4120-000</t>
  </si>
  <si>
    <t xml:space="preserve">PR-TAV-44-4120-025-SET</t>
  </si>
  <si>
    <t xml:space="preserve">14-4120-025</t>
  </si>
  <si>
    <t xml:space="preserve">PR-TAV-44-4120-050-SET</t>
  </si>
  <si>
    <t xml:space="preserve">14-4120-050</t>
  </si>
  <si>
    <t xml:space="preserve">PR-TAV-44-4120-100-SET</t>
  </si>
  <si>
    <t xml:space="preserve">14-4120-100</t>
  </si>
  <si>
    <t xml:space="preserve">PR-TAV-49-4120-000-SET</t>
  </si>
  <si>
    <t xml:space="preserve">19-4120-000</t>
  </si>
  <si>
    <t xml:space="preserve">PR-TAV-49-4120-025-SET</t>
  </si>
  <si>
    <t xml:space="preserve">19-4120-025</t>
  </si>
  <si>
    <t xml:space="preserve">PR-TAV-49-4120-050-SET</t>
  </si>
  <si>
    <t xml:space="preserve">19-4120-050</t>
  </si>
  <si>
    <t xml:space="preserve">PR-TAV-49-4120-100-SET</t>
  </si>
  <si>
    <t xml:space="preserve">19-4120-100</t>
  </si>
  <si>
    <t xml:space="preserve">PR-UAZ-44-5658-000-SET</t>
  </si>
  <si>
    <t xml:space="preserve">14-5658-000</t>
  </si>
  <si>
    <t xml:space="preserve">PR-UAZ-44-5658-050-SET</t>
  </si>
  <si>
    <t xml:space="preserve">14-5658-050</t>
  </si>
  <si>
    <t xml:space="preserve">PR-UAZ-44-5660-000-SET</t>
  </si>
  <si>
    <t xml:space="preserve">14-5660-000</t>
  </si>
  <si>
    <t xml:space="preserve">PR-UAZ-44-5660-050-SET</t>
  </si>
  <si>
    <t xml:space="preserve">14-5660-050</t>
  </si>
  <si>
    <t xml:space="preserve">PR-UAZ-44-5660-100-SET</t>
  </si>
  <si>
    <t xml:space="preserve">14-5660-100</t>
  </si>
  <si>
    <t xml:space="preserve">PR-UAZ-49-5660-000-SET</t>
  </si>
  <si>
    <t xml:space="preserve">19-5660-000</t>
  </si>
  <si>
    <t xml:space="preserve">PR-UAZ-49-5660-050-SET</t>
  </si>
  <si>
    <t xml:space="preserve">19-5660-050</t>
  </si>
  <si>
    <t xml:space="preserve">PR-UAZ-49-5660-100-SET</t>
  </si>
  <si>
    <t xml:space="preserve">19-5660-100</t>
  </si>
  <si>
    <t xml:space="preserve">PR-UAZ-44-5661-000-SET</t>
  </si>
  <si>
    <t xml:space="preserve">14-5661-000</t>
  </si>
  <si>
    <t xml:space="preserve">PR-UAZ-44-5661-050-SET</t>
  </si>
  <si>
    <t xml:space="preserve">14-5661-050</t>
  </si>
  <si>
    <t xml:space="preserve">PR-UAZ-44-5661-100-SET</t>
  </si>
  <si>
    <t xml:space="preserve">14-5661-100</t>
  </si>
  <si>
    <t xml:space="preserve">PR-UAZ-49-5661-000-SET</t>
  </si>
  <si>
    <t xml:space="preserve">19-5661-000</t>
  </si>
  <si>
    <t xml:space="preserve">PR-UAZ-49-5661-050-SET</t>
  </si>
  <si>
    <t xml:space="preserve">19-5661-050</t>
  </si>
  <si>
    <t xml:space="preserve">PR-UAZ-49-5661-100-SET</t>
  </si>
  <si>
    <t xml:space="preserve">19-5661-100</t>
  </si>
  <si>
    <t xml:space="preserve">PR-WOL-44-5650-000-SET</t>
  </si>
  <si>
    <t xml:space="preserve">14-5650-000</t>
  </si>
  <si>
    <t xml:space="preserve">PR-WOL-44-5650-050-SET</t>
  </si>
  <si>
    <t xml:space="preserve">14-5650-050</t>
  </si>
  <si>
    <t xml:space="preserve">PR-WOL-44-5650-100-SET</t>
  </si>
  <si>
    <t xml:space="preserve">14-5650-100</t>
  </si>
  <si>
    <t xml:space="preserve">PR-WOL-44-5650-150-SET</t>
  </si>
  <si>
    <t xml:space="preserve">14-5650-150</t>
  </si>
  <si>
    <t xml:space="preserve">PR-WOL-47-5650-000-SET</t>
  </si>
  <si>
    <t xml:space="preserve">17-5650-000</t>
  </si>
  <si>
    <t xml:space="preserve">PR-WOL-47-5650-050-SET</t>
  </si>
  <si>
    <t xml:space="preserve">17-5650-050</t>
  </si>
  <si>
    <t xml:space="preserve">PR-WOL-47-5650-100-SET</t>
  </si>
  <si>
    <t xml:space="preserve">17-5650-100</t>
  </si>
  <si>
    <t xml:space="preserve">PR-WOL-47-5650-150-SET</t>
  </si>
  <si>
    <t xml:space="preserve">17-5650-150</t>
  </si>
  <si>
    <t xml:space="preserve">PR-WOL-49-5650-000-SET</t>
  </si>
  <si>
    <t xml:space="preserve">19-5650-000</t>
  </si>
  <si>
    <t xml:space="preserve">PR-WOL-49-5650-025-SET</t>
  </si>
  <si>
    <t xml:space="preserve">19-5650-025</t>
  </si>
  <si>
    <t xml:space="preserve">PR-WOL-49-5650-050-SET</t>
  </si>
  <si>
    <t xml:space="preserve">19-5650-050</t>
  </si>
  <si>
    <t xml:space="preserve">PR-WOL-49-5650-100-SET</t>
  </si>
  <si>
    <t xml:space="preserve">19-5650-100</t>
  </si>
  <si>
    <t xml:space="preserve">PR-WOL-49-5650-150-SET</t>
  </si>
  <si>
    <t xml:space="preserve">19-5650-150</t>
  </si>
  <si>
    <t xml:space="preserve">PR-WOL-44-5651-000-SET</t>
  </si>
  <si>
    <t xml:space="preserve">14-5651-000</t>
  </si>
  <si>
    <t xml:space="preserve">PR-WOL-44-5651-050-SET</t>
  </si>
  <si>
    <t xml:space="preserve">14-5651-050</t>
  </si>
  <si>
    <t xml:space="preserve">PR-WOL-44-5651-100-SET</t>
  </si>
  <si>
    <t xml:space="preserve">14-5651-100</t>
  </si>
  <si>
    <t xml:space="preserve">PR-WOL-44-5651-150-SET</t>
  </si>
  <si>
    <t xml:space="preserve">14-5651-150</t>
  </si>
  <si>
    <t xml:space="preserve">PR-WOL-44-5652-000-SET</t>
  </si>
  <si>
    <t xml:space="preserve">14-5652-000</t>
  </si>
  <si>
    <t xml:space="preserve">PR-WOL-44-5652-050-SET</t>
  </si>
  <si>
    <t xml:space="preserve">14-5652-050</t>
  </si>
  <si>
    <t xml:space="preserve">PR-WOL-44-5652-100-SET</t>
  </si>
  <si>
    <t xml:space="preserve">14-5652-100</t>
  </si>
  <si>
    <t xml:space="preserve">PR-WOL-49-5652-000-SET</t>
  </si>
  <si>
    <t xml:space="preserve">19-5652-000</t>
  </si>
  <si>
    <t xml:space="preserve">PR-WOL-49-5652-050-SET</t>
  </si>
  <si>
    <t xml:space="preserve">19-5652-050</t>
  </si>
  <si>
    <t xml:space="preserve">PR-WOL-49-5652-100-SET</t>
  </si>
  <si>
    <t xml:space="preserve">19-5652-100</t>
  </si>
  <si>
    <t xml:space="preserve">PR-WOL-44-5656-000-SET</t>
  </si>
  <si>
    <t xml:space="preserve">14-5656-000</t>
  </si>
  <si>
    <t xml:space="preserve">PR-WOL-44-5656-050-SET</t>
  </si>
  <si>
    <t xml:space="preserve">14-5656-050</t>
  </si>
  <si>
    <t xml:space="preserve">PR-WOL-44-5656-100-SET</t>
  </si>
  <si>
    <t xml:space="preserve">14-5656-100</t>
  </si>
  <si>
    <t xml:space="preserve">PR-WOL-49-5656-000-SET</t>
  </si>
  <si>
    <t xml:space="preserve">19-5656-000</t>
  </si>
  <si>
    <t xml:space="preserve">PR-WOL-49-5656-050-SET</t>
  </si>
  <si>
    <t xml:space="preserve">19-5656-050</t>
  </si>
  <si>
    <t xml:space="preserve">PR-WOL-49-5656-100-SET</t>
  </si>
  <si>
    <t xml:space="preserve">19-5656-100</t>
  </si>
  <si>
    <t xml:space="preserve">PR-WOL-44-5657-000-SET</t>
  </si>
  <si>
    <t xml:space="preserve">14-5657-000</t>
  </si>
  <si>
    <t xml:space="preserve">PR-WOL-44-5657-050-SET</t>
  </si>
  <si>
    <t xml:space="preserve">14-5657-050</t>
  </si>
  <si>
    <t xml:space="preserve">PR-WOL-44-5657-100-SET</t>
  </si>
  <si>
    <t xml:space="preserve">14-5657-100</t>
  </si>
  <si>
    <t xml:space="preserve">PR-WOL-49-5657-000-SET</t>
  </si>
  <si>
    <t xml:space="preserve">19-5657-000</t>
  </si>
  <si>
    <t xml:space="preserve">PR-WOL-49-5657-050-SET</t>
  </si>
  <si>
    <t xml:space="preserve">19-5657-050</t>
  </si>
  <si>
    <t xml:space="preserve">PR-WOL-49-5657-100-SET</t>
  </si>
  <si>
    <t xml:space="preserve">19-5657-100</t>
  </si>
  <si>
    <t xml:space="preserve">PR-YAM-14-5750-000-SET</t>
  </si>
  <si>
    <t xml:space="preserve">14-5750-000</t>
  </si>
  <si>
    <t xml:space="preserve">PR-YAM-64-5750-000-SET</t>
  </si>
  <si>
    <t xml:space="preserve">PR-YAM-64-5751-000-SET</t>
  </si>
  <si>
    <t xml:space="preserve">14-5751-000</t>
  </si>
  <si>
    <t xml:space="preserve">PR-ZIL-84-5990-000-SET</t>
  </si>
  <si>
    <t xml:space="preserve">14-5990-000</t>
  </si>
  <si>
    <t xml:space="preserve">PR-ZIL-84-5990-050-SET</t>
  </si>
  <si>
    <t xml:space="preserve">14-5990-050</t>
  </si>
  <si>
    <t xml:space="preserve">PR-ZIL-84-5990-100-SET</t>
  </si>
  <si>
    <t xml:space="preserve">14-5990-100</t>
  </si>
  <si>
    <t xml:space="preserve">PR-ZIL-84-5990-150-SET</t>
  </si>
  <si>
    <t xml:space="preserve">14-5990-150</t>
  </si>
  <si>
    <t xml:space="preserve">PR-ZIL-84-5991-000-SET</t>
  </si>
  <si>
    <t xml:space="preserve">14-5991-000</t>
  </si>
  <si>
    <t xml:space="preserve">PCHE003-S-0-D</t>
  </si>
  <si>
    <t xml:space="preserve">pc</t>
  </si>
  <si>
    <t xml:space="preserve">PCHE005-S-0-D</t>
  </si>
  <si>
    <t xml:space="preserve">PCHE005-S-0-N</t>
  </si>
  <si>
    <t xml:space="preserve">PCHE006-A-0-D</t>
  </si>
  <si>
    <t xml:space="preserve">PCHE006-A-0-N</t>
  </si>
  <si>
    <t xml:space="preserve">PCHE007-S-0-D</t>
  </si>
  <si>
    <t xml:space="preserve">PCHE007-S-0-N</t>
  </si>
  <si>
    <t xml:space="preserve">PCHE008-A-0-D</t>
  </si>
  <si>
    <t xml:space="preserve">PCHE008-A-0-N</t>
  </si>
  <si>
    <t xml:space="preserve">PCHE013-S-0-N</t>
  </si>
  <si>
    <t xml:space="preserve">PCHE014-A-0-N</t>
  </si>
  <si>
    <t xml:space="preserve">PCHE033-S-0-N</t>
  </si>
  <si>
    <t xml:space="preserve">PCHE034-A-0-N</t>
  </si>
  <si>
    <t xml:space="preserve">PCHE043-S-0-N</t>
  </si>
  <si>
    <t xml:space="preserve">PCHE044-A-0-N</t>
  </si>
  <si>
    <t xml:space="preserve">PCHE045-S-0-N</t>
  </si>
  <si>
    <t xml:space="preserve">PCHE046-A-0-N</t>
  </si>
  <si>
    <t xml:space="preserve">PCHE047-S-0-N</t>
  </si>
  <si>
    <t xml:space="preserve">PCHE048-A-0-N</t>
  </si>
  <si>
    <t xml:space="preserve">PCUM023-S-0-N</t>
  </si>
  <si>
    <t xml:space="preserve">PCUM024-B-0-N</t>
  </si>
  <si>
    <t xml:space="preserve">PDAE001-S-0-0</t>
  </si>
  <si>
    <t xml:space="preserve">PDAE002-A-0-0</t>
  </si>
  <si>
    <t xml:space="preserve">PDAE003-S-0-D</t>
  </si>
  <si>
    <t xml:space="preserve">PDAE003-S-0-H</t>
  </si>
  <si>
    <t xml:space="preserve">PDAE003-S-0-N</t>
  </si>
  <si>
    <t xml:space="preserve">PDAE004-A-0-D</t>
  </si>
  <si>
    <t xml:space="preserve">PDAE004-A-0-H</t>
  </si>
  <si>
    <t xml:space="preserve">PDAE004-A-0-N</t>
  </si>
  <si>
    <t xml:space="preserve">PDAE005-S-0-D</t>
  </si>
  <si>
    <t xml:space="preserve">PDAE005-S-0-N</t>
  </si>
  <si>
    <t xml:space="preserve">PDAE006-A-0-D</t>
  </si>
  <si>
    <t xml:space="preserve">PDAE006-A-0-N</t>
  </si>
  <si>
    <t xml:space="preserve">PDAE008-A-0-D</t>
  </si>
  <si>
    <t xml:space="preserve">PDAE009-S-0-N</t>
  </si>
  <si>
    <t xml:space="preserve">PDAE010-A-0-N</t>
  </si>
  <si>
    <t xml:space="preserve">PDAE011-S-0-D</t>
  </si>
  <si>
    <t xml:space="preserve">PDAE011-S-0-N</t>
  </si>
  <si>
    <t xml:space="preserve">PDAE012-A-0-D</t>
  </si>
  <si>
    <t xml:space="preserve">PDAE012-A-0-N</t>
  </si>
  <si>
    <t xml:space="preserve">PDAE013-S-0-0</t>
  </si>
  <si>
    <t xml:space="preserve">PDAE013-S-0-D</t>
  </si>
  <si>
    <t xml:space="preserve">PDAE013-S-0-H</t>
  </si>
  <si>
    <t xml:space="preserve">PDAE013-S-0-N</t>
  </si>
  <si>
    <t xml:space="preserve">PDAE014-A-0-D</t>
  </si>
  <si>
    <t xml:space="preserve">PDAE014-B-0-0</t>
  </si>
  <si>
    <t xml:space="preserve">PDAE014-B-0-H</t>
  </si>
  <si>
    <t xml:space="preserve">PDAE014-B-0-N</t>
  </si>
  <si>
    <t xml:space="preserve">PDAF031-S-0-N</t>
  </si>
  <si>
    <t xml:space="preserve">PDAF032-B-0-N</t>
  </si>
  <si>
    <t xml:space="preserve">PIKA003-A-0-D</t>
  </si>
  <si>
    <t xml:space="preserve">PIKA003-S-0-N</t>
  </si>
  <si>
    <t xml:space="preserve">PIKA004-A-0-D</t>
  </si>
  <si>
    <t xml:space="preserve">PIKA004-S-0-C</t>
  </si>
  <si>
    <t xml:space="preserve">PIKA004-S-0-N</t>
  </si>
  <si>
    <t xml:space="preserve">PISU027-S-0-N</t>
  </si>
  <si>
    <t xml:space="preserve">PISU028-A-0-N</t>
  </si>
  <si>
    <t xml:space="preserve">PISU028-B-0-N</t>
  </si>
  <si>
    <t xml:space="preserve">PISU031-S-0-N</t>
  </si>
  <si>
    <t xml:space="preserve">PISU032-S-0-N</t>
  </si>
  <si>
    <t xml:space="preserve">PISU033-S-0-N</t>
  </si>
  <si>
    <t xml:space="preserve">PISU034-B-0-N</t>
  </si>
  <si>
    <t xml:space="preserve">PKAM001-S-0-H</t>
  </si>
  <si>
    <t xml:space="preserve">PKAM001-S-0-N</t>
  </si>
  <si>
    <t xml:space="preserve">PKAM002-B-0-H</t>
  </si>
  <si>
    <t xml:space="preserve">PKAM002-B-0-N</t>
  </si>
  <si>
    <t xml:space="preserve">PLAD001-S-0-D</t>
  </si>
  <si>
    <t xml:space="preserve">PLAD001-S-0-N</t>
  </si>
  <si>
    <t xml:space="preserve">PLAD002-A-0-D</t>
  </si>
  <si>
    <t xml:space="preserve">PLAD002-A-0-N</t>
  </si>
  <si>
    <t xml:space="preserve">PLAD003-S-0-D</t>
  </si>
  <si>
    <t xml:space="preserve">PLAD003-S-0-N</t>
  </si>
  <si>
    <t xml:space="preserve">PLAD004-A-0-D</t>
  </si>
  <si>
    <t xml:space="preserve">PLAD004-A-0-N</t>
  </si>
  <si>
    <t xml:space="preserve">PLAD005-S-0-D</t>
  </si>
  <si>
    <t xml:space="preserve">PLAD005-S-0-N</t>
  </si>
  <si>
    <t xml:space="preserve">PLAD006-S-0-D</t>
  </si>
  <si>
    <t xml:space="preserve">PLAD006-S-0-H</t>
  </si>
  <si>
    <t xml:space="preserve">PLAD006-S-0-N</t>
  </si>
  <si>
    <t xml:space="preserve">PLAD007-A-0-D</t>
  </si>
  <si>
    <t xml:space="preserve">PLAD007-A-0-N</t>
  </si>
  <si>
    <t xml:space="preserve">PLAD007-B-0-H</t>
  </si>
  <si>
    <t xml:space="preserve">PLAD025-S-0-N</t>
  </si>
  <si>
    <t xml:space="preserve">PLAD026-B-0-N</t>
  </si>
  <si>
    <t xml:space="preserve">PLAD030-S-0-H</t>
  </si>
  <si>
    <t xml:space="preserve">PLAD031-B-0-H</t>
  </si>
  <si>
    <t xml:space="preserve">PMAN032-B-0-N</t>
  </si>
  <si>
    <t xml:space="preserve">PMAN033-B-0-N</t>
  </si>
  <si>
    <t xml:space="preserve">PMER023-B-0-N</t>
  </si>
  <si>
    <t xml:space="preserve">PMER099-B-0-N</t>
  </si>
  <si>
    <t xml:space="preserve">PMOS001-S-0-D</t>
  </si>
  <si>
    <t xml:space="preserve">PMOS001-S-0-N</t>
  </si>
  <si>
    <t xml:space="preserve">PMOS002-A-0-D</t>
  </si>
  <si>
    <t xml:space="preserve">PMOS002-A-0-N</t>
  </si>
  <si>
    <t xml:space="preserve">PMTZ001-S-0-D</t>
  </si>
  <si>
    <t xml:space="preserve">PMTZ002-B-0-N</t>
  </si>
  <si>
    <t xml:space="preserve">PMTZ002-S-0-D</t>
  </si>
  <si>
    <t xml:space="preserve">PMTZ003-S-0-N</t>
  </si>
  <si>
    <t xml:space="preserve">POPE115-S-0-N</t>
  </si>
  <si>
    <t xml:space="preserve">POPE116-A-0-N</t>
  </si>
  <si>
    <t xml:space="preserve">PREN001-S-0-D</t>
  </si>
  <si>
    <t xml:space="preserve">PREN001-S-0-N</t>
  </si>
  <si>
    <t xml:space="preserve">PREN002-A-0-D</t>
  </si>
  <si>
    <t xml:space="preserve">PREN002-A-0-N</t>
  </si>
  <si>
    <t xml:space="preserve">PREN018-S-0-0</t>
  </si>
  <si>
    <t xml:space="preserve">PREN018-S-0-N</t>
  </si>
  <si>
    <t xml:space="preserve">PREN019-A-0-0</t>
  </si>
  <si>
    <t xml:space="preserve">PREN019-A-0-N</t>
  </si>
  <si>
    <t xml:space="preserve">PSCA016-B-0-N</t>
  </si>
  <si>
    <t xml:space="preserve">PSMD001-S-0-D</t>
  </si>
  <si>
    <t xml:space="preserve">PSMD002-S-0-D</t>
  </si>
  <si>
    <t xml:space="preserve">PSPE001-S-0-D</t>
  </si>
  <si>
    <t xml:space="preserve">PSPE002-A-0-D</t>
  </si>
  <si>
    <t xml:space="preserve">PTMZ002-B-0-N</t>
  </si>
  <si>
    <t xml:space="preserve">PTMZ003-B-P-N</t>
  </si>
  <si>
    <t xml:space="preserve">PUAZ001-S-0-D</t>
  </si>
  <si>
    <t xml:space="preserve">PUAZ001-S-0-N</t>
  </si>
  <si>
    <t xml:space="preserve">PUAZ002-A-0-D</t>
  </si>
  <si>
    <t xml:space="preserve">PUAZ002-A-0-N</t>
  </si>
  <si>
    <t xml:space="preserve">PWLA001-S-0-0</t>
  </si>
  <si>
    <t xml:space="preserve">PWLA002-S-0-0</t>
  </si>
  <si>
    <t xml:space="preserve">PWOL001-S-0-D</t>
  </si>
  <si>
    <t xml:space="preserve">PWOL001-S-0-N</t>
  </si>
  <si>
    <t xml:space="preserve">PWOL002-A-0-D</t>
  </si>
  <si>
    <t xml:space="preserve">PWOL002-A-0-N</t>
  </si>
  <si>
    <t xml:space="preserve">PWOL003-S-0-D</t>
  </si>
  <si>
    <t xml:space="preserve">PWOL003-S-0-N</t>
  </si>
  <si>
    <t xml:space="preserve">PWOL004-A-0-D</t>
  </si>
  <si>
    <t xml:space="preserve">PWOL004-A-0-N</t>
  </si>
  <si>
    <t xml:space="preserve">PWOL007-S-0-N</t>
  </si>
  <si>
    <t xml:space="preserve">PYAM001-S-0-N</t>
  </si>
  <si>
    <t xml:space="preserve">PYAM002-S-0-C</t>
  </si>
  <si>
    <t xml:space="preserve">PYAM002-S-0-N</t>
  </si>
  <si>
    <t xml:space="preserve">PYAM003-B-0-N</t>
  </si>
  <si>
    <t xml:space="preserve">PYAM003-B-P-N</t>
  </si>
  <si>
    <t xml:space="preserve">PYAM004-B-0-N</t>
  </si>
  <si>
    <t xml:space="preserve">PZAZ003-S-0-D</t>
  </si>
  <si>
    <t xml:space="preserve">PZAZ003-S-0-N</t>
  </si>
  <si>
    <t xml:space="preserve">PZAZ004-A-0-D</t>
  </si>
  <si>
    <t xml:space="preserve">PZAZ004-A-0-N</t>
  </si>
  <si>
    <t xml:space="preserve">PZIL001-S-0-N</t>
  </si>
  <si>
    <t xml:space="preserve">PZIL002-B-0-N</t>
  </si>
  <si>
    <t xml:space="preserve">JCAT005-G-S-0</t>
  </si>
  <si>
    <t xml:space="preserve">JCHE003-G-S-0</t>
  </si>
  <si>
    <t xml:space="preserve">JCHE003-G-S-1</t>
  </si>
  <si>
    <t xml:space="preserve">JCHE004-G-S-0</t>
  </si>
  <si>
    <t xml:space="preserve">JCHE004-G-S-1</t>
  </si>
  <si>
    <t xml:space="preserve">JCHE005-G-S-0</t>
  </si>
  <si>
    <t xml:space="preserve">JCHE005-G-S-1</t>
  </si>
  <si>
    <t xml:space="preserve">JDAE001-G-P-0</t>
  </si>
  <si>
    <t xml:space="preserve">JDAE001-G-S-0</t>
  </si>
  <si>
    <t xml:space="preserve">JDAE001-G-S-1</t>
  </si>
  <si>
    <t xml:space="preserve">JDAE003-G-P-0</t>
  </si>
  <si>
    <t xml:space="preserve">JDAE003-G-S-0</t>
  </si>
  <si>
    <t xml:space="preserve">JDAE003-G-S-1</t>
  </si>
  <si>
    <t xml:space="preserve">JDAE003-G-S-2</t>
  </si>
  <si>
    <t xml:space="preserve">JDAE004-G-P-0</t>
  </si>
  <si>
    <t xml:space="preserve">JDAE004-G-S-0</t>
  </si>
  <si>
    <t xml:space="preserve">JDAE004-G-S-1</t>
  </si>
  <si>
    <t xml:space="preserve">JDAF002-G-S-0</t>
  </si>
  <si>
    <t xml:space="preserve">JDAF003-G-S-0</t>
  </si>
  <si>
    <t xml:space="preserve">JHYU001-G-S-0</t>
  </si>
  <si>
    <t xml:space="preserve">JHYU002-G-S-0</t>
  </si>
  <si>
    <t xml:space="preserve">JHYU003-G-S-0</t>
  </si>
  <si>
    <t xml:space="preserve">JHYU004-G-S-0</t>
  </si>
  <si>
    <t xml:space="preserve">JIKA001-G-S-0</t>
  </si>
  <si>
    <t xml:space="preserve">JIKA002-G-S-0</t>
  </si>
  <si>
    <t xml:space="preserve">JISU003-G-S-0</t>
  </si>
  <si>
    <t xml:space="preserve">JJOH001-G-S-0</t>
  </si>
  <si>
    <t xml:space="preserve">JKAM001-G-P-0</t>
  </si>
  <si>
    <t xml:space="preserve">JKAM001-G-S-0</t>
  </si>
  <si>
    <t xml:space="preserve">JKAM001-G-P-2</t>
  </si>
  <si>
    <t xml:space="preserve">JKAM001-G-S-2</t>
  </si>
  <si>
    <t xml:space="preserve">JKHD005-G-S-0</t>
  </si>
  <si>
    <t xml:space="preserve">JKHD006-G-S-0</t>
  </si>
  <si>
    <t xml:space="preserve">JLAD001-G-S-0</t>
  </si>
  <si>
    <t xml:space="preserve">JLAD002-G-S-0</t>
  </si>
  <si>
    <t xml:space="preserve">JLAD003-G-S-0</t>
  </si>
  <si>
    <t xml:space="preserve">JLAD004-G-S-0</t>
  </si>
  <si>
    <t xml:space="preserve">JLAD006-B-S-0</t>
  </si>
  <si>
    <t xml:space="preserve">JLAD006-B-S-1</t>
  </si>
  <si>
    <t xml:space="preserve">JLAD006-B-S-2</t>
  </si>
  <si>
    <t xml:space="preserve">JLAD010-B-S-0</t>
  </si>
  <si>
    <t xml:space="preserve">JLAD011-G-S-0</t>
  </si>
  <si>
    <t xml:space="preserve">JLAD011-G-S-1</t>
  </si>
  <si>
    <t xml:space="preserve">JLAD011-G-S-2</t>
  </si>
  <si>
    <t xml:space="preserve">JLAD011-G-S-3</t>
  </si>
  <si>
    <t xml:space="preserve">JLAD012-G-S-0</t>
  </si>
  <si>
    <t xml:space="preserve">JLAD012-G-S-1</t>
  </si>
  <si>
    <t xml:space="preserve">JLAD012-G-S-2</t>
  </si>
  <si>
    <t xml:space="preserve">JLAD012-G-S-3</t>
  </si>
  <si>
    <t xml:space="preserve">JLAD013-G-S-0</t>
  </si>
  <si>
    <t xml:space="preserve">JLAD013-G-S-1</t>
  </si>
  <si>
    <t xml:space="preserve">JLAD013-G-S-2</t>
  </si>
  <si>
    <t xml:space="preserve">JLAD013-G-S-3</t>
  </si>
  <si>
    <t xml:space="preserve">JLAD014-G-S-0</t>
  </si>
  <si>
    <t xml:space="preserve">JLAD014-G-S-1</t>
  </si>
  <si>
    <t xml:space="preserve">JLAD014-G-S-2</t>
  </si>
  <si>
    <t xml:space="preserve">JLAD014-G-S-3</t>
  </si>
  <si>
    <t xml:space="preserve">JMAN003-G-S-0</t>
  </si>
  <si>
    <t xml:space="preserve">JMAN004-G-S-0</t>
  </si>
  <si>
    <t xml:space="preserve">JMER043-G-S-0</t>
  </si>
  <si>
    <t xml:space="preserve">JMOS001-G-S-0</t>
  </si>
  <si>
    <t xml:space="preserve">JMOS002-G-S-0</t>
  </si>
  <si>
    <t xml:space="preserve">JMTZ003-G-P-0</t>
  </si>
  <si>
    <t xml:space="preserve">JMTZ003-G-S-0</t>
  </si>
  <si>
    <t xml:space="preserve">JMTZ003-G-P-1</t>
  </si>
  <si>
    <t xml:space="preserve">JMTZ003-G-S-1</t>
  </si>
  <si>
    <t xml:space="preserve">JMTZ003-G-P-2</t>
  </si>
  <si>
    <t xml:space="preserve">JMTZ003-G-S-2</t>
  </si>
  <si>
    <t xml:space="preserve">JOPE007-G-P-0</t>
  </si>
  <si>
    <t xml:space="preserve">JOPE007-G-S-0</t>
  </si>
  <si>
    <t xml:space="preserve">JOPE009-G-P-0</t>
  </si>
  <si>
    <t xml:space="preserve">JOPE009-G-S-0</t>
  </si>
  <si>
    <t xml:space="preserve">JREN005-B-S-0</t>
  </si>
  <si>
    <t xml:space="preserve">JREN007-B-S-0</t>
  </si>
  <si>
    <t xml:space="preserve">JREN016-B-S-0</t>
  </si>
  <si>
    <t xml:space="preserve">JSCA003-G-S-0</t>
  </si>
  <si>
    <t xml:space="preserve">JSMD001-G-P-0</t>
  </si>
  <si>
    <t xml:space="preserve">JSMD001-G-S-0</t>
  </si>
  <si>
    <t xml:space="preserve">JTOY003-G-S-0</t>
  </si>
  <si>
    <t xml:space="preserve">JVWG005-G-S-0</t>
  </si>
  <si>
    <t xml:space="preserve">JVWG017-G-S-0</t>
  </si>
  <si>
    <t xml:space="preserve">JVWG022-G-S-0</t>
  </si>
  <si>
    <t xml:space="preserve">JVWG035-G-S-0</t>
  </si>
  <si>
    <t xml:space="preserve">JWLA001-G-S-0</t>
  </si>
  <si>
    <t xml:space="preserve">JWLA002-G-S-1</t>
  </si>
  <si>
    <t xml:space="preserve">JWLA003-G-P-0</t>
  </si>
  <si>
    <t xml:space="preserve">JWLA003-G-S-0</t>
  </si>
  <si>
    <t xml:space="preserve">JWOL003-G-P-0</t>
  </si>
  <si>
    <t xml:space="preserve">JWOL003-G-S-0</t>
  </si>
  <si>
    <t xml:space="preserve">JWOL003-G-P-1</t>
  </si>
  <si>
    <t xml:space="preserve">JWOL003-G-S-1</t>
  </si>
  <si>
    <t xml:space="preserve">JWOL003-G-P-2</t>
  </si>
  <si>
    <t xml:space="preserve">JWOL003-G-S-2</t>
  </si>
  <si>
    <t xml:space="preserve">JWOL004-G-P-0</t>
  </si>
  <si>
    <t xml:space="preserve">JWOL004-G-S-0</t>
  </si>
  <si>
    <t xml:space="preserve">JWOL004-G-P-1</t>
  </si>
  <si>
    <t xml:space="preserve">JWOL004-G-S-1</t>
  </si>
  <si>
    <t xml:space="preserve">JWOL004-G-P-2</t>
  </si>
  <si>
    <t xml:space="preserve">JWOL004-G-S-2</t>
  </si>
  <si>
    <t xml:space="preserve">JYAM001-G-P-0</t>
  </si>
  <si>
    <t xml:space="preserve">JYAM001-G-S-0</t>
  </si>
  <si>
    <t xml:space="preserve">JZAZ003-G-S-0</t>
  </si>
  <si>
    <t xml:space="preserve">JZAZ004-G-S-0</t>
  </si>
  <si>
    <t xml:space="preserve">JZIL001-G-P-0</t>
  </si>
  <si>
    <t xml:space="preserve">JZIL001-G-S-0</t>
  </si>
  <si>
    <t xml:space="preserve">JZIL001-G-P-1</t>
  </si>
  <si>
    <t xml:space="preserve">JZIL001-G-S-1</t>
  </si>
  <si>
    <t xml:space="preserve">JZIL001-G-P-2</t>
  </si>
  <si>
    <t xml:space="preserve">JZIL001-G-S-2</t>
  </si>
  <si>
    <t xml:space="preserve">JZIL002-G-P-0</t>
  </si>
  <si>
    <t xml:space="preserve">JZIL002-G-S-0</t>
  </si>
  <si>
    <t xml:space="preserve">JZIL002-G-P-1</t>
  </si>
  <si>
    <t xml:space="preserve">JZIL002-G-S-1</t>
  </si>
  <si>
    <t xml:space="preserve">JZIL002-G-P-2</t>
  </si>
  <si>
    <t xml:space="preserve">JZIL002-G-S-2</t>
  </si>
  <si>
    <t xml:space="preserve">XDAE-53</t>
  </si>
  <si>
    <t xml:space="preserve">XDAE-55</t>
  </si>
  <si>
    <t xml:space="preserve">XKAM-95</t>
  </si>
  <si>
    <t xml:space="preserve">XLAD-53</t>
  </si>
  <si>
    <t xml:space="preserve">XLAD-61-BLUE</t>
  </si>
  <si>
    <t xml:space="preserve">XLAD-61-GREEN</t>
  </si>
  <si>
    <t xml:space="preserve">XLAD-61-RED</t>
  </si>
  <si>
    <t xml:space="preserve">XLAD-67-BLUE</t>
  </si>
  <si>
    <t xml:space="preserve">XLAD-67-GREEN</t>
  </si>
  <si>
    <t xml:space="preserve">XLAD-67-RED</t>
  </si>
  <si>
    <t xml:space="preserve">XMTZ-92</t>
  </si>
  <si>
    <t xml:space="preserve">XUAZ-66-GREEN</t>
  </si>
  <si>
    <t xml:space="preserve">XUAZ-66-RED</t>
  </si>
  <si>
    <t xml:space="preserve">XUAZ-66-WHITE</t>
  </si>
  <si>
    <t xml:space="preserve">XUAZ-66-YELLOW</t>
  </si>
  <si>
    <t xml:space="preserve">XWOL-64-GREEN</t>
  </si>
  <si>
    <t xml:space="preserve">XWOL-64-RED</t>
  </si>
  <si>
    <t xml:space="preserve">XWOL-64-WHITE</t>
  </si>
  <si>
    <t xml:space="preserve">XWOL-64-YELLOW</t>
  </si>
  <si>
    <t xml:space="preserve">XWOL-66-GREEN</t>
  </si>
  <si>
    <t xml:space="preserve">XWOL-66-RED</t>
  </si>
  <si>
    <t xml:space="preserve">XWOL-66-WHITE</t>
  </si>
  <si>
    <t xml:space="preserve">XWOL-66-YELLOW</t>
  </si>
  <si>
    <t xml:space="preserve">XWOL-67-GREEN</t>
  </si>
  <si>
    <t xml:space="preserve">XWOL-67-RED</t>
  </si>
  <si>
    <t xml:space="preserve">XWOL-67-WHITE</t>
  </si>
  <si>
    <t xml:space="preserve">XWOL-67-YELLOW</t>
  </si>
  <si>
    <t xml:space="preserve">XYAM-110</t>
  </si>
  <si>
    <t xml:space="preserve">XZAZ-60-GREEN</t>
  </si>
  <si>
    <t xml:space="preserve">XZAZ-60-RED</t>
  </si>
  <si>
    <t xml:space="preserve">XZAZ-60-YELLOW</t>
  </si>
  <si>
    <t xml:space="preserve">PX-CHE-4A-1590-000</t>
  </si>
  <si>
    <t xml:space="preserve">kit</t>
  </si>
  <si>
    <t xml:space="preserve">PX-CHE-4A-1590-025</t>
  </si>
  <si>
    <t xml:space="preserve">PX-CHE-4A-1590-050</t>
  </si>
  <si>
    <t xml:space="preserve">PX-CHE-4A-3549-000</t>
  </si>
  <si>
    <t xml:space="preserve">PX-CHE-4A-3549-025</t>
  </si>
  <si>
    <t xml:space="preserve">PX-CHE-4A-3549-050</t>
  </si>
  <si>
    <t xml:space="preserve">PX-CHE-4A-3549-075</t>
  </si>
  <si>
    <t xml:space="preserve">PX-CHE-4A-3549-100</t>
  </si>
  <si>
    <t xml:space="preserve">PX-CHE-4A-3549-000-2</t>
  </si>
  <si>
    <t xml:space="preserve">PX-CHE-4A-3549-025-2</t>
  </si>
  <si>
    <t xml:space="preserve">PX-CHE-4A-3549-050-2</t>
  </si>
  <si>
    <t xml:space="preserve">PX-CHE-4A-3549-075-2</t>
  </si>
  <si>
    <t xml:space="preserve">PX-CHE-4A-3549-100-2</t>
  </si>
  <si>
    <t xml:space="preserve">PX-CHE-4F-1405-000</t>
  </si>
  <si>
    <t xml:space="preserve">PX-CHE-4F-1405-025</t>
  </si>
  <si>
    <t xml:space="preserve">PX-CHE-4F-1405-050</t>
  </si>
  <si>
    <t xml:space="preserve">PX-CHE-4F-1590-000</t>
  </si>
  <si>
    <t xml:space="preserve">PX-CHE-4F-1590-025</t>
  </si>
  <si>
    <t xml:space="preserve">PX-CHE-4F-1590-050</t>
  </si>
  <si>
    <t xml:space="preserve">PX-CHE-4F-3549-000</t>
  </si>
  <si>
    <t xml:space="preserve">PX-CHE-4F-3549-025</t>
  </si>
  <si>
    <t xml:space="preserve">PX-CHE-4F-3549-050</t>
  </si>
  <si>
    <t xml:space="preserve">PX-CUM-1R-0812-000</t>
  </si>
  <si>
    <t xml:space="preserve">PX-CUM-1R-0812-025</t>
  </si>
  <si>
    <t xml:space="preserve">PX-CUM-1R-0812-050</t>
  </si>
  <si>
    <t xml:space="preserve">PX-DAE-3A-1401-000</t>
  </si>
  <si>
    <t xml:space="preserve">PX-DAE-3A-1401-025</t>
  </si>
  <si>
    <t xml:space="preserve">PX-DAE-3A-1401-050</t>
  </si>
  <si>
    <t xml:space="preserve">PX-DAE-3A-1401-075</t>
  </si>
  <si>
    <t xml:space="preserve">PX-DAE-3A-1401-100</t>
  </si>
  <si>
    <t xml:space="preserve">PX-DAE-3F-1401-000</t>
  </si>
  <si>
    <t xml:space="preserve">PX-DAE-3F-1401-025</t>
  </si>
  <si>
    <t xml:space="preserve">PX-DAE-3F-1401-050</t>
  </si>
  <si>
    <t xml:space="preserve">PX-DAE-3F-1401-075</t>
  </si>
  <si>
    <t xml:space="preserve">PX-DAE-3F-1401-100</t>
  </si>
  <si>
    <t xml:space="preserve">PX-DAE-4A-1402-000</t>
  </si>
  <si>
    <t xml:space="preserve">PX-DAE-4A-1402-025</t>
  </si>
  <si>
    <t xml:space="preserve">PX-DAE-4A-1402-050</t>
  </si>
  <si>
    <t xml:space="preserve">PX-DAE-4A-1402-075</t>
  </si>
  <si>
    <t xml:space="preserve">PX-DAE-4A-1402-100</t>
  </si>
  <si>
    <t xml:space="preserve">PX-DAE-4A-3538-000</t>
  </si>
  <si>
    <t xml:space="preserve">PX-DAE-4A-3538-025</t>
  </si>
  <si>
    <t xml:space="preserve">PX-DAE-4A-3538-050</t>
  </si>
  <si>
    <t xml:space="preserve">PX-DAE-4A-3538-075</t>
  </si>
  <si>
    <t xml:space="preserve">PX-DAE-4A-3538-100</t>
  </si>
  <si>
    <t xml:space="preserve">PX-DAE-4A-3538-000-2</t>
  </si>
  <si>
    <t xml:space="preserve">PX-DAE-4A-3538-025-2</t>
  </si>
  <si>
    <t xml:space="preserve">PX-DAE-4A-3538-050-2</t>
  </si>
  <si>
    <t xml:space="preserve">PX-DAE-4A-3538-075-2</t>
  </si>
  <si>
    <t xml:space="preserve">PX-DAE-4A-3538-100-2</t>
  </si>
  <si>
    <t xml:space="preserve">PX-DAE-4A-3548-000</t>
  </si>
  <si>
    <t xml:space="preserve">PX-DAE-4A-3548-025</t>
  </si>
  <si>
    <t xml:space="preserve">PX-DAE-4A-3548-050</t>
  </si>
  <si>
    <t xml:space="preserve">PX-DAE-4A-3548-075</t>
  </si>
  <si>
    <t xml:space="preserve">PX-DAE-4A-3548-100</t>
  </si>
  <si>
    <t xml:space="preserve">PX-DAE-4A-3548-000-2</t>
  </si>
  <si>
    <t xml:space="preserve">PX-DAE-4A-3548-025-2</t>
  </si>
  <si>
    <t xml:space="preserve">PX-DAE-4A-3548-050-2</t>
  </si>
  <si>
    <t xml:space="preserve">PX-DAE-4A-3548-075-2</t>
  </si>
  <si>
    <t xml:space="preserve">PX-DAE-4A-3548-100-2</t>
  </si>
  <si>
    <t xml:space="preserve">PX-DAE-4F-1402-000</t>
  </si>
  <si>
    <t xml:space="preserve">PX-DAE-4F-1402-025</t>
  </si>
  <si>
    <t xml:space="preserve">PX-DAE-4F-1402-050</t>
  </si>
  <si>
    <t xml:space="preserve">PX-DAE-4F-3538-000</t>
  </si>
  <si>
    <t xml:space="preserve">PX-DAE-4F-3538-025</t>
  </si>
  <si>
    <t xml:space="preserve">PX-DAE-4F-3538-050</t>
  </si>
  <si>
    <t xml:space="preserve">PX-DAE-4F-3538-075</t>
  </si>
  <si>
    <t xml:space="preserve">PX-DAE-4F-3538-100</t>
  </si>
  <si>
    <t xml:space="preserve">PX-DAE-4F-3538-000-2</t>
  </si>
  <si>
    <t xml:space="preserve">PX-DAE-4F-3538-025-2</t>
  </si>
  <si>
    <t xml:space="preserve">PX-DAE-4F-3538-050-2</t>
  </si>
  <si>
    <t xml:space="preserve">PX-DAE-4F-3538-075-2</t>
  </si>
  <si>
    <t xml:space="preserve">PX-DAE-4F-3538-100-2</t>
  </si>
  <si>
    <t xml:space="preserve">PX-DAE-4F-3548-000</t>
  </si>
  <si>
    <t xml:space="preserve">PX-DAE-4F-3548-025</t>
  </si>
  <si>
    <t xml:space="preserve">PX-DAE-4F-3548-050</t>
  </si>
  <si>
    <t xml:space="preserve">PX-DAE-4F-3548-075</t>
  </si>
  <si>
    <t xml:space="preserve">PX-DAE-4F-3548-100</t>
  </si>
  <si>
    <t xml:space="preserve">PX-DAE-4F-3548-000-2</t>
  </si>
  <si>
    <t xml:space="preserve">PX-DAE-4F-3548-025-2</t>
  </si>
  <si>
    <t xml:space="preserve">PX-DAE-4F-3548-050-2</t>
  </si>
  <si>
    <t xml:space="preserve">PX-DAE-4F-3548-075-2</t>
  </si>
  <si>
    <t xml:space="preserve">PX-DAE-4F-3548-100-2</t>
  </si>
  <si>
    <t xml:space="preserve">PX-LAD-4A-2801-000</t>
  </si>
  <si>
    <t xml:space="preserve">PX-LAD-4A-2801-000-A</t>
  </si>
  <si>
    <t xml:space="preserve">PX-LAD-4A-2801-000-B</t>
  </si>
  <si>
    <t xml:space="preserve">PX-LAD-4A-2801-000-C</t>
  </si>
  <si>
    <t xml:space="preserve">PX-LAD-4A-2801-000-D</t>
  </si>
  <si>
    <t xml:space="preserve">PX-LAD-4A-2801-000-E</t>
  </si>
  <si>
    <t xml:space="preserve">PX-LAD-4A-2801-020-B</t>
  </si>
  <si>
    <t xml:space="preserve">PX-LAD-4A-2801-040</t>
  </si>
  <si>
    <t xml:space="preserve">PX-LAD-4A-2801-040-A</t>
  </si>
  <si>
    <t xml:space="preserve">PX-LAD-4A-2801-040-B</t>
  </si>
  <si>
    <t xml:space="preserve">PX-LAD-4A-2801-040-C</t>
  </si>
  <si>
    <t xml:space="preserve">PX-LAD-4A-2801-040-D</t>
  </si>
  <si>
    <t xml:space="preserve">PX-LAD-4A-2801-040-E</t>
  </si>
  <si>
    <t xml:space="preserve">PX-LAD-4A-2801-060</t>
  </si>
  <si>
    <t xml:space="preserve">PX-LAD-4A-2801-060-A</t>
  </si>
  <si>
    <t xml:space="preserve">PX-LAD-4A-2801-060-B</t>
  </si>
  <si>
    <t xml:space="preserve">PX-LAD-4A-2801-060-C</t>
  </si>
  <si>
    <t xml:space="preserve">PX-LAD-4A-2801-060-D</t>
  </si>
  <si>
    <t xml:space="preserve">PX-LAD-4A-2801-060-E</t>
  </si>
  <si>
    <t xml:space="preserve">PX-LAD-4A-2801-080</t>
  </si>
  <si>
    <t xml:space="preserve">PX-LAD-4A-2801-080-A</t>
  </si>
  <si>
    <t xml:space="preserve">PX-LAD-4A-2801-080-B</t>
  </si>
  <si>
    <t xml:space="preserve">PX-LAD-4A-2801-080-C</t>
  </si>
  <si>
    <t xml:space="preserve">PX-LAD-4A-2801-080-D</t>
  </si>
  <si>
    <t xml:space="preserve">PX-LAD-4A-2801-080-E</t>
  </si>
  <si>
    <t xml:space="preserve">PX-LAD-4A-2801-100</t>
  </si>
  <si>
    <t xml:space="preserve">PX-LAD-4A-2801-100-A</t>
  </si>
  <si>
    <t xml:space="preserve">PX-LAD-4A-2801-100-B</t>
  </si>
  <si>
    <t xml:space="preserve">PX-LAD-4A-2801-100-C</t>
  </si>
  <si>
    <t xml:space="preserve">PX-LAD-4A-2801-100-D</t>
  </si>
  <si>
    <t xml:space="preserve">PX-LAD-4A-2801-100-E</t>
  </si>
  <si>
    <t xml:space="preserve">PX-LAD-4A-2802-000</t>
  </si>
  <si>
    <t xml:space="preserve">PX-LAD-4A-2802-000-A</t>
  </si>
  <si>
    <t xml:space="preserve">PX-LAD-4A-2802-000-B</t>
  </si>
  <si>
    <t xml:space="preserve">PX-LAD-4A-2802-000-C</t>
  </si>
  <si>
    <t xml:space="preserve">PX-LAD-4A-2802-000-D</t>
  </si>
  <si>
    <t xml:space="preserve">PX-LAD-4A-2802-000-E</t>
  </si>
  <si>
    <t xml:space="preserve">PX-LAD-4A-2802-020</t>
  </si>
  <si>
    <t xml:space="preserve">PX-LAD-4A-2802-020-A</t>
  </si>
  <si>
    <t xml:space="preserve">PX-LAD-4A-2802-020-B</t>
  </si>
  <si>
    <t xml:space="preserve">PX-LAD-4A-2802-020-C</t>
  </si>
  <si>
    <t xml:space="preserve">PX-LAD-4A-2802-020-D</t>
  </si>
  <si>
    <t xml:space="preserve">PX-LAD-4A-2802-020-E</t>
  </si>
  <si>
    <t xml:space="preserve">PX-LAD-4A-2802-040</t>
  </si>
  <si>
    <t xml:space="preserve">PX-LAD-4A-2802-040-A</t>
  </si>
  <si>
    <t xml:space="preserve">PX-LAD-4A-2802-040-B</t>
  </si>
  <si>
    <t xml:space="preserve">PX-LAD-4A-2802-040-C</t>
  </si>
  <si>
    <t xml:space="preserve">PX-LAD-4A-2802-040-D</t>
  </si>
  <si>
    <t xml:space="preserve">PX-LAD-4A-2802-040-E</t>
  </si>
  <si>
    <t xml:space="preserve">PX-LAD-4A-2802-060</t>
  </si>
  <si>
    <t xml:space="preserve">PX-LAD-4A-2802-060-A</t>
  </si>
  <si>
    <t xml:space="preserve">PX-LAD-4A-2802-060-B</t>
  </si>
  <si>
    <t xml:space="preserve">PX-LAD-4A-2802-060-C</t>
  </si>
  <si>
    <t xml:space="preserve">PX-LAD-4A-2802-060-D</t>
  </si>
  <si>
    <t xml:space="preserve">PX-LAD-4A-2802-060-E</t>
  </si>
  <si>
    <t xml:space="preserve">PX-LAD-4A-2802-080</t>
  </si>
  <si>
    <t xml:space="preserve">PX-LAD-4A-2802-080-A</t>
  </si>
  <si>
    <t xml:space="preserve">PX-LAD-4A-2802-080-B</t>
  </si>
  <si>
    <t xml:space="preserve">PX-LAD-4A-2802-080-C</t>
  </si>
  <si>
    <t xml:space="preserve">PX-LAD-4A-2802-080-D</t>
  </si>
  <si>
    <t xml:space="preserve">PX-LAD-4A-2802-080-E</t>
  </si>
  <si>
    <t xml:space="preserve">PX-LAD-4A-2802-100</t>
  </si>
  <si>
    <t xml:space="preserve">PX-LAD-4A-2802-100-A</t>
  </si>
  <si>
    <t xml:space="preserve">PX-LAD-4A-2802-100-B</t>
  </si>
  <si>
    <t xml:space="preserve">PX-LAD-4A-2802-100-C</t>
  </si>
  <si>
    <t xml:space="preserve">PX-LAD-4A-2802-100-D</t>
  </si>
  <si>
    <t xml:space="preserve">PX-LAD-4A-2802-100-E</t>
  </si>
  <si>
    <t xml:space="preserve">PX-LAD-4A-2803-000</t>
  </si>
  <si>
    <t xml:space="preserve">PX-LAD-4A-2803-000-A</t>
  </si>
  <si>
    <t xml:space="preserve">PX-LAD-4A-2803-000-B</t>
  </si>
  <si>
    <t xml:space="preserve">PX-LAD-4A-2803-000-C</t>
  </si>
  <si>
    <t xml:space="preserve">PX-LAD-4A-2803-000-D</t>
  </si>
  <si>
    <t xml:space="preserve">PX-LAD-4A-2803-000-E</t>
  </si>
  <si>
    <t xml:space="preserve">PX-LAD-4A-2803-000-2-A</t>
  </si>
  <si>
    <t xml:space="preserve">PX-LAD-4A-2803-000-2-B</t>
  </si>
  <si>
    <t xml:space="preserve">PX-LAD-4A-2803-000-2-C</t>
  </si>
  <si>
    <t xml:space="preserve">PX-LAD-4A-2803-000-2-D</t>
  </si>
  <si>
    <t xml:space="preserve">PX-LAD-4A-2803-000-2-E</t>
  </si>
  <si>
    <t xml:space="preserve">PX-LAD-4A-2803-040</t>
  </si>
  <si>
    <t xml:space="preserve">PX-LAD-4A-2803-040-A</t>
  </si>
  <si>
    <t xml:space="preserve">PX-LAD-4A-2803-040-B</t>
  </si>
  <si>
    <t xml:space="preserve">PX-LAD-4A-2803-040-C</t>
  </si>
  <si>
    <t xml:space="preserve">PX-LAD-4A-2803-040-D</t>
  </si>
  <si>
    <t xml:space="preserve">PX-LAD-4A-2803-040-E</t>
  </si>
  <si>
    <t xml:space="preserve">PX-LAD-4A-2803-040-2-A</t>
  </si>
  <si>
    <t xml:space="preserve">PX-LAD-4A-2803-040-2-B</t>
  </si>
  <si>
    <t xml:space="preserve">PX-LAD-4A-2803-040-2-C</t>
  </si>
  <si>
    <t xml:space="preserve">PX-LAD-4A-2803-040-2-D</t>
  </si>
  <si>
    <t xml:space="preserve">PX-LAD-4A-2803-040-2-E</t>
  </si>
  <si>
    <t xml:space="preserve">PX-LAD-4A-2803-070</t>
  </si>
  <si>
    <t xml:space="preserve">PX-LAD-4A-2803-070-A</t>
  </si>
  <si>
    <t xml:space="preserve">PX-LAD-4A-2803-070-B</t>
  </si>
  <si>
    <t xml:space="preserve">PX-LAD-4A-2803-070-C</t>
  </si>
  <si>
    <t xml:space="preserve">PX-LAD-4A-2803-070-D</t>
  </si>
  <si>
    <t xml:space="preserve">PX-LAD-4A-2803-070-E</t>
  </si>
  <si>
    <t xml:space="preserve">PX-LAD-4A-2803-070-2-A</t>
  </si>
  <si>
    <t xml:space="preserve">PX-LAD-4A-2803-070-2-B</t>
  </si>
  <si>
    <t xml:space="preserve">PX-LAD-4A-2803-070-2-C</t>
  </si>
  <si>
    <t xml:space="preserve">PX-LAD-4A-2803-070-2-D</t>
  </si>
  <si>
    <t xml:space="preserve">PX-LAD-4A-2803-070-2-E</t>
  </si>
  <si>
    <t xml:space="preserve">PX-LAD-4A-2803-080</t>
  </si>
  <si>
    <t xml:space="preserve">PX-LAD-4A-2803-080-A</t>
  </si>
  <si>
    <t xml:space="preserve">PX-LAD-4A-2803-080-B</t>
  </si>
  <si>
    <t xml:space="preserve">PX-LAD-4A-2803-080-C</t>
  </si>
  <si>
    <t xml:space="preserve">PX-LAD-4A-2803-080-D</t>
  </si>
  <si>
    <t xml:space="preserve">PX-LAD-4A-2803-080-E</t>
  </si>
  <si>
    <t xml:space="preserve">PX-LAD-4A-2803-080-2-A</t>
  </si>
  <si>
    <t xml:space="preserve">PX-LAD-4A-2803-080-2-B</t>
  </si>
  <si>
    <t xml:space="preserve">PX-LAD-4A-2803-080-2-C</t>
  </si>
  <si>
    <t xml:space="preserve">PX-LAD-4A-2803-080-2-D</t>
  </si>
  <si>
    <t xml:space="preserve">PX-LAD-4A-2803-080-2-E</t>
  </si>
  <si>
    <t xml:space="preserve">PX-LAD-4A-2803-100</t>
  </si>
  <si>
    <t xml:space="preserve">PX-LAD-4A-2803-100-A</t>
  </si>
  <si>
    <t xml:space="preserve">PX-LAD-4A-2803-100-B</t>
  </si>
  <si>
    <t xml:space="preserve">PX-LAD-4A-2803-100-C</t>
  </si>
  <si>
    <t xml:space="preserve">PX-LAD-4A-2803-100-D</t>
  </si>
  <si>
    <t xml:space="preserve">PX-LAD-4A-2803-100-E</t>
  </si>
  <si>
    <t xml:space="preserve">PX-LAD-4A-2803-100-2-A</t>
  </si>
  <si>
    <t xml:space="preserve">PX-LAD-4A-2803-100-2-B</t>
  </si>
  <si>
    <t xml:space="preserve">PX-LAD-4A-2803-100-2-C</t>
  </si>
  <si>
    <t xml:space="preserve">PX-LAD-4A-2803-100-2-D</t>
  </si>
  <si>
    <t xml:space="preserve">PX-LAD-4A-2803-100-2-E</t>
  </si>
  <si>
    <t xml:space="preserve">PX-LAD-4A-2803-000-2</t>
  </si>
  <si>
    <t xml:space="preserve">PX-LAD-4A-2803-040-2</t>
  </si>
  <si>
    <t xml:space="preserve">PX-LAD-4A-2803-070-2</t>
  </si>
  <si>
    <t xml:space="preserve">PX-LAD-4A-2803-080-2</t>
  </si>
  <si>
    <t xml:space="preserve">PX-LAD-4A-2803-100-2</t>
  </si>
  <si>
    <t xml:space="preserve">PX-LAD-4A-2804-000</t>
  </si>
  <si>
    <t xml:space="preserve">PX-LAD-4A-2804-000-A</t>
  </si>
  <si>
    <t xml:space="preserve">PX-LAD-4A-2804-000-B</t>
  </si>
  <si>
    <t xml:space="preserve">PX-LAD-4A-2804-000-C</t>
  </si>
  <si>
    <t xml:space="preserve">PX-LAD-4A-2804-000-D</t>
  </si>
  <si>
    <t xml:space="preserve">PX-LAD-4A-2804-000-E</t>
  </si>
  <si>
    <t xml:space="preserve">PX-LAD-4A-2804-040</t>
  </si>
  <si>
    <t xml:space="preserve">PX-LAD-4A-2804-040-A</t>
  </si>
  <si>
    <t xml:space="preserve">PX-LAD-4A-2804-040-B</t>
  </si>
  <si>
    <t xml:space="preserve">PX-LAD-4A-2804-040-C</t>
  </si>
  <si>
    <t xml:space="preserve">PX-LAD-4A-2804-040-D</t>
  </si>
  <si>
    <t xml:space="preserve">PX-LAD-4A-2804-040-E</t>
  </si>
  <si>
    <t xml:space="preserve">PX-LAD-4A-2804-060</t>
  </si>
  <si>
    <t xml:space="preserve">PX-LAD-4A-2804-080</t>
  </si>
  <si>
    <t xml:space="preserve">PX-LAD-4A-2804-080-A</t>
  </si>
  <si>
    <t xml:space="preserve">PX-LAD-4A-2804-080-B</t>
  </si>
  <si>
    <t xml:space="preserve">PX-LAD-4A-2804-080-C</t>
  </si>
  <si>
    <t xml:space="preserve">PX-LAD-4A-2804-080-D</t>
  </si>
  <si>
    <t xml:space="preserve">PX-LAD-4A-2804-080-E</t>
  </si>
  <si>
    <t xml:space="preserve">PX-LAD-4A-2804-100</t>
  </si>
  <si>
    <t xml:space="preserve">PX-LAD-4A-2804-100-A</t>
  </si>
  <si>
    <t xml:space="preserve">PX-LAD-4A-2804-100-B</t>
  </si>
  <si>
    <t xml:space="preserve">PX-LAD-4A-2804-100-C</t>
  </si>
  <si>
    <t xml:space="preserve">PX-LAD-4A-2804-100-D</t>
  </si>
  <si>
    <t xml:space="preserve">PX-LAD-4A-2804-100-E</t>
  </si>
  <si>
    <t xml:space="preserve">PX-LAD-4A-2805-000</t>
  </si>
  <si>
    <t xml:space="preserve">PX-LAD-4A-2805-000-A</t>
  </si>
  <si>
    <t xml:space="preserve">PX-LAD-4A-2805-000-B</t>
  </si>
  <si>
    <t xml:space="preserve">PX-LAD-4A-2805-000-C</t>
  </si>
  <si>
    <t xml:space="preserve">PX-LAD-4A-2805-000-D</t>
  </si>
  <si>
    <t xml:space="preserve">PX-LAD-4A-2805-000-E</t>
  </si>
  <si>
    <t xml:space="preserve">PX-LAD-4A-2805-025</t>
  </si>
  <si>
    <t xml:space="preserve">PX-LAD-4A-2805-025-A</t>
  </si>
  <si>
    <t xml:space="preserve">PX-LAD-4A-2805-025-B</t>
  </si>
  <si>
    <t xml:space="preserve">PX-LAD-4A-2805-025-C</t>
  </si>
  <si>
    <t xml:space="preserve">PX-LAD-4A-2805-025-D</t>
  </si>
  <si>
    <t xml:space="preserve">PX-LAD-4A-2805-025-E</t>
  </si>
  <si>
    <t xml:space="preserve">PX-LAD-4A-2805-050</t>
  </si>
  <si>
    <t xml:space="preserve">PX-LAD-4A-2805-050-A</t>
  </si>
  <si>
    <t xml:space="preserve">PX-LAD-4A-2805-050-B</t>
  </si>
  <si>
    <t xml:space="preserve">PX-LAD-4A-2805-050-C</t>
  </si>
  <si>
    <t xml:space="preserve">PX-LAD-4A-2805-050-D</t>
  </si>
  <si>
    <t xml:space="preserve">PX-LAD-4A-2805-050-E</t>
  </si>
  <si>
    <t xml:space="preserve">PX-LAD-4A-2805-075</t>
  </si>
  <si>
    <t xml:space="preserve">PX-LAD-4A-2805-075-A</t>
  </si>
  <si>
    <t xml:space="preserve">PX-LAD-4A-2805-075-B</t>
  </si>
  <si>
    <t xml:space="preserve">PX-LAD-4A-2805-075-C</t>
  </si>
  <si>
    <t xml:space="preserve">PX-LAD-4A-2805-075-D</t>
  </si>
  <si>
    <t xml:space="preserve">PX-LAD-4A-2805-075-E</t>
  </si>
  <si>
    <t xml:space="preserve">PX-LAD-4A-2805-100</t>
  </si>
  <si>
    <t xml:space="preserve">PX-LAD-4A-2805-100-A</t>
  </si>
  <si>
    <t xml:space="preserve">PX-LAD-4A-2805-100-B</t>
  </si>
  <si>
    <t xml:space="preserve">PX-LAD-4A-2805-100-C</t>
  </si>
  <si>
    <t xml:space="preserve">PX-LAD-4A-2805-100-D</t>
  </si>
  <si>
    <t xml:space="preserve">PX-LAD-4A-2805-100-E</t>
  </si>
  <si>
    <t xml:space="preserve">PX-LAD-4A-2806-000</t>
  </si>
  <si>
    <t xml:space="preserve">PX-LAD-4A-2806-000-A</t>
  </si>
  <si>
    <t xml:space="preserve">PX-LAD-4A-2806-000-B</t>
  </si>
  <si>
    <t xml:space="preserve">PX-LAD-4A-2806-000-C</t>
  </si>
  <si>
    <t xml:space="preserve">PX-LAD-4A-2806-050</t>
  </si>
  <si>
    <t xml:space="preserve">PX-LAD-4A-2806-050-A</t>
  </si>
  <si>
    <t xml:space="preserve">PX-LAD-4A-2806-050-B</t>
  </si>
  <si>
    <t xml:space="preserve">PX-LAD-4A-2806-050-C</t>
  </si>
  <si>
    <t xml:space="preserve">PX-LAD-4A-2806-100</t>
  </si>
  <si>
    <t xml:space="preserve">PX-LAD-4A-2806-100-A</t>
  </si>
  <si>
    <t xml:space="preserve">PX-LAD-4A-2806-100-B</t>
  </si>
  <si>
    <t xml:space="preserve">PX-LAD-4A-2806-100-C</t>
  </si>
  <si>
    <t xml:space="preserve">PX-LAD-4A-2807-000</t>
  </si>
  <si>
    <t xml:space="preserve">PX-LAD-4A-2807-000-A</t>
  </si>
  <si>
    <t xml:space="preserve">PX-LAD-4A-2807-000-B</t>
  </si>
  <si>
    <t xml:space="preserve">PX-LAD-4A-2807-000-C</t>
  </si>
  <si>
    <t xml:space="preserve">PX-LAD-4A-2807-000-D</t>
  </si>
  <si>
    <t xml:space="preserve">PX-LAD-4A-2807-000-E</t>
  </si>
  <si>
    <t xml:space="preserve">PX-LAD-4A-2807-040</t>
  </si>
  <si>
    <t xml:space="preserve">PX-LAD-4A-2807-040-A</t>
  </si>
  <si>
    <t xml:space="preserve">PX-LAD-4A-2807-040-B</t>
  </si>
  <si>
    <t xml:space="preserve">PX-LAD-4A-2807-040-C</t>
  </si>
  <si>
    <t xml:space="preserve">PX-LAD-4A-2807-040-D</t>
  </si>
  <si>
    <t xml:space="preserve">PX-LAD-4A-2807-040-E</t>
  </si>
  <si>
    <t xml:space="preserve">PX-LAD-4A-2807-080</t>
  </si>
  <si>
    <t xml:space="preserve">PX-LAD-4A-2807-080-A</t>
  </si>
  <si>
    <t xml:space="preserve">PX-LAD-4A-2807-080-B</t>
  </si>
  <si>
    <t xml:space="preserve">PX-LAD-4A-2807-080-C</t>
  </si>
  <si>
    <t xml:space="preserve">PX-LAD-4A-2807-080-D</t>
  </si>
  <si>
    <t xml:space="preserve">PX-LAD-4A-2807-080-E</t>
  </si>
  <si>
    <t xml:space="preserve">PX-LAD-4A-2807-100</t>
  </si>
  <si>
    <t xml:space="preserve">PX-LAD-4A-2807-100-A</t>
  </si>
  <si>
    <t xml:space="preserve">PX-LAD-4A-2807-100-B</t>
  </si>
  <si>
    <t xml:space="preserve">PX-LAD-4A-2807-100-C</t>
  </si>
  <si>
    <t xml:space="preserve">PX-LAD-4A-2807-100-D</t>
  </si>
  <si>
    <t xml:space="preserve">PX-LAD-4A-2807-100-E</t>
  </si>
  <si>
    <t xml:space="preserve">PX-LAD-4A-2808-000</t>
  </si>
  <si>
    <t xml:space="preserve">PX-LAD-4A-2808-000-A</t>
  </si>
  <si>
    <t xml:space="preserve">PX-LAD-4A-2808-000-B</t>
  </si>
  <si>
    <t xml:space="preserve">PX-LAD-4A-2808-000-C</t>
  </si>
  <si>
    <t xml:space="preserve">PX-LAD-4A-2808-000-D</t>
  </si>
  <si>
    <t xml:space="preserve">PX-LAD-4A-2808-000-E</t>
  </si>
  <si>
    <t xml:space="preserve">PX-LAD-4A-2808-040</t>
  </si>
  <si>
    <t xml:space="preserve">PX-LAD-4A-2808-040-A</t>
  </si>
  <si>
    <t xml:space="preserve">PX-LAD-4A-2808-040-B</t>
  </si>
  <si>
    <t xml:space="preserve">PX-LAD-4A-2808-040-C</t>
  </si>
  <si>
    <t xml:space="preserve">PX-LAD-4A-2808-040-D</t>
  </si>
  <si>
    <t xml:space="preserve">PX-LAD-4A-2808-040-E</t>
  </si>
  <si>
    <t xml:space="preserve">PX-LAD-4A-2808-080</t>
  </si>
  <si>
    <t xml:space="preserve">PX-LAD-4A-2808-080-A</t>
  </si>
  <si>
    <t xml:space="preserve">PX-LAD-4A-2808-080-B</t>
  </si>
  <si>
    <t xml:space="preserve">PX-LAD-4A-2808-080-C</t>
  </si>
  <si>
    <t xml:space="preserve">PX-LAD-4A-2808-080-D</t>
  </si>
  <si>
    <t xml:space="preserve">PX-LAD-4A-2808-080-E</t>
  </si>
  <si>
    <t xml:space="preserve">PX-LAD-4A-2808-100</t>
  </si>
  <si>
    <t xml:space="preserve">PX-LAD-4A-2808-100-A</t>
  </si>
  <si>
    <t xml:space="preserve">PX-LAD-4A-2808-100-B</t>
  </si>
  <si>
    <t xml:space="preserve">PX-LAD-4A-2808-100-C</t>
  </si>
  <si>
    <t xml:space="preserve">PX-LAD-4A-2808-100-D</t>
  </si>
  <si>
    <t xml:space="preserve">PX-LAD-4A-2808-100-E</t>
  </si>
  <si>
    <t xml:space="preserve">PX-LAD-4A-2809-000</t>
  </si>
  <si>
    <t xml:space="preserve">PX-LAD-4A-2809-000-A</t>
  </si>
  <si>
    <t xml:space="preserve">PX-LAD-4A-2809-000-B</t>
  </si>
  <si>
    <t xml:space="preserve">PX-LAD-4A-2809-000-C</t>
  </si>
  <si>
    <t xml:space="preserve">PX-LAD-4A-2809-050</t>
  </si>
  <si>
    <t xml:space="preserve">PX-LAD-4A-2809-050-A</t>
  </si>
  <si>
    <t xml:space="preserve">PX-LAD-4A-2809-050-B</t>
  </si>
  <si>
    <t xml:space="preserve">PX-LAD-4A-2809-050-C</t>
  </si>
  <si>
    <t xml:space="preserve">PX-LAD-4A-2809-100</t>
  </si>
  <si>
    <t xml:space="preserve">PX-LAD-4A-2809-100-A</t>
  </si>
  <si>
    <t xml:space="preserve">PX-LAD-4A-2809-100-B</t>
  </si>
  <si>
    <t xml:space="preserve">PX-LAD-4A-2809-100-C</t>
  </si>
  <si>
    <t xml:space="preserve">PX-LAD-4A-2810-000</t>
  </si>
  <si>
    <t xml:space="preserve">PX-LAD-4A-2810-000-A</t>
  </si>
  <si>
    <t xml:space="preserve">PX-LAD-4A-2810-000-B</t>
  </si>
  <si>
    <t xml:space="preserve">PX-LAD-4A-2810-000-C</t>
  </si>
  <si>
    <t xml:space="preserve">PX-LAD-4A-2810-000-D</t>
  </si>
  <si>
    <t xml:space="preserve">PX-LAD-4A-2810-000-E</t>
  </si>
  <si>
    <t xml:space="preserve">PX-LAD-4A-2810-040</t>
  </si>
  <si>
    <t xml:space="preserve">PX-LAD-4A-2810-040-A</t>
  </si>
  <si>
    <t xml:space="preserve">PX-LAD-4A-2810-040-B</t>
  </si>
  <si>
    <t xml:space="preserve">PX-LAD-4A-2810-040-C</t>
  </si>
  <si>
    <t xml:space="preserve">PX-LAD-4A-2810-040-D</t>
  </si>
  <si>
    <t xml:space="preserve">PX-LAD-4A-2810-040-E</t>
  </si>
  <si>
    <t xml:space="preserve">PX-LAD-4A-2810-080</t>
  </si>
  <si>
    <t xml:space="preserve">PX-LAD-4A-2810-080-A</t>
  </si>
  <si>
    <t xml:space="preserve">PX-LAD-4A-2810-080-B</t>
  </si>
  <si>
    <t xml:space="preserve">PX-LAD-4A-2810-080-C</t>
  </si>
  <si>
    <t xml:space="preserve">PX-LAD-4A-2810-080-D</t>
  </si>
  <si>
    <t xml:space="preserve">PX-LAD-4A-2810-080-E</t>
  </si>
  <si>
    <t xml:space="preserve">PX-LAD-4A-2810-100</t>
  </si>
  <si>
    <t xml:space="preserve">PX-LAD-4A-2810-100-A</t>
  </si>
  <si>
    <t xml:space="preserve">PX-LAD-4A-2810-100-B</t>
  </si>
  <si>
    <t xml:space="preserve">PX-LAD-4A-2810-100-C</t>
  </si>
  <si>
    <t xml:space="preserve">PX-LAD-4A-2810-100-D</t>
  </si>
  <si>
    <t xml:space="preserve">PX-LAD-4A-2810-100-E</t>
  </si>
  <si>
    <t xml:space="preserve">PX-LAD-4A-2811-000-A</t>
  </si>
  <si>
    <t xml:space="preserve">PX-LAD-4A-2811-000-B</t>
  </si>
  <si>
    <t xml:space="preserve">PX-LAD-4A-2811-000-C</t>
  </si>
  <si>
    <t xml:space="preserve">PX-LAD-4A-2811-000-D</t>
  </si>
  <si>
    <t xml:space="preserve">PX-LAD-4A-2811-000-E</t>
  </si>
  <si>
    <t xml:space="preserve">PX-LAD-4A-2811-025-A</t>
  </si>
  <si>
    <t xml:space="preserve">PX-LAD-4A-2811-050-A</t>
  </si>
  <si>
    <t xml:space="preserve">PX-LAD-4A-2811-050-B</t>
  </si>
  <si>
    <t xml:space="preserve">PX-LAD-4A-2811-050-C</t>
  </si>
  <si>
    <t xml:space="preserve">PX-LAD-4A-2811-100-A</t>
  </si>
  <si>
    <t xml:space="preserve">PX-LAD-4A-2811-100-B</t>
  </si>
  <si>
    <t xml:space="preserve">PX-LAD-4A-2818-000</t>
  </si>
  <si>
    <t xml:space="preserve">PX-LAD-4A-2818-000-A</t>
  </si>
  <si>
    <t xml:space="preserve">PX-LAD-4A-2818-000-B</t>
  </si>
  <si>
    <t xml:space="preserve">PX-LAD-4A-2818-000-C</t>
  </si>
  <si>
    <t xml:space="preserve">PX-LAD-4A-2818-050</t>
  </si>
  <si>
    <t xml:space="preserve">PX-LAD-4A-2818-050-A</t>
  </si>
  <si>
    <t xml:space="preserve">PX-LAD-4A-2818-050-B</t>
  </si>
  <si>
    <t xml:space="preserve">PX-LAD-4A-2818-050-C</t>
  </si>
  <si>
    <t xml:space="preserve">PX-LAD-4A-2818-100</t>
  </si>
  <si>
    <t xml:space="preserve">PX-LAD-4A-2818-100-A</t>
  </si>
  <si>
    <t xml:space="preserve">PX-LAD-4A-2818-100-B</t>
  </si>
  <si>
    <t xml:space="preserve">PX-LAD-4A-2818-100-C</t>
  </si>
  <si>
    <t xml:space="preserve">PX-MOS-4A-4852-000</t>
  </si>
  <si>
    <t xml:space="preserve">PX-MOS-4A-4852-000-A</t>
  </si>
  <si>
    <t xml:space="preserve">PX-MOS-4A-4852-000-B</t>
  </si>
  <si>
    <t xml:space="preserve">PX-MOS-4A-4852-000-C</t>
  </si>
  <si>
    <t xml:space="preserve">PX-MOS-4A-4852-050</t>
  </si>
  <si>
    <t xml:space="preserve">PX-MOS-4A-4852-050-A</t>
  </si>
  <si>
    <t xml:space="preserve">PX-MOS-4A-4852-050-B</t>
  </si>
  <si>
    <t xml:space="preserve">PX-MOS-4A-4852-050-C</t>
  </si>
  <si>
    <t xml:space="preserve">PX-MOS-4A-4852-100</t>
  </si>
  <si>
    <t xml:space="preserve">PX-MOS-4A-4852-100-A</t>
  </si>
  <si>
    <t xml:space="preserve">PX-MOS-4A-4852-100-B</t>
  </si>
  <si>
    <t xml:space="preserve">PX-MOS-4A-4852-100-C</t>
  </si>
  <si>
    <t xml:space="preserve">PX-MOS-4A-4855-000</t>
  </si>
  <si>
    <t xml:space="preserve">PX-MOS-4A-4855-000-A</t>
  </si>
  <si>
    <t xml:space="preserve">PX-MOS-4A-4855-000-B</t>
  </si>
  <si>
    <t xml:space="preserve">PX-MOS-4A-4855-000-C</t>
  </si>
  <si>
    <t xml:space="preserve">PX-MOS-4A-4855-050</t>
  </si>
  <si>
    <t xml:space="preserve">PX-MOS-4A-4855-050-A</t>
  </si>
  <si>
    <t xml:space="preserve">PX-MOS-4A-4855-050-B</t>
  </si>
  <si>
    <t xml:space="preserve">PX-MOS-4A-4855-050-C</t>
  </si>
  <si>
    <t xml:space="preserve">PX-MOS-4A-4855-100-A</t>
  </si>
  <si>
    <t xml:space="preserve">PX-MOS-4A-4855-100-B</t>
  </si>
  <si>
    <t xml:space="preserve">PX-MOS-4A-4855-100-C</t>
  </si>
  <si>
    <t xml:space="preserve">PX-MTZ-1F-5950-000</t>
  </si>
  <si>
    <t xml:space="preserve">PX-RAV-4A-5901-000</t>
  </si>
  <si>
    <t xml:space="preserve">PX-RAV-4A-5901-025</t>
  </si>
  <si>
    <t xml:space="preserve">PX-RAV-4A-5901-050</t>
  </si>
  <si>
    <t xml:space="preserve">PX-RAV-4A-5902-000</t>
  </si>
  <si>
    <t xml:space="preserve">PX-RAV-4A-5902-025</t>
  </si>
  <si>
    <t xml:space="preserve">PX-RAV-4A-5902-050</t>
  </si>
  <si>
    <t xml:space="preserve">PX-RAV-4F-5901-000</t>
  </si>
  <si>
    <t xml:space="preserve">PX-RAV-4F-5901-025</t>
  </si>
  <si>
    <t xml:space="preserve">PX-RAV-4F-5901-050</t>
  </si>
  <si>
    <t xml:space="preserve">PX-RAV-4F-5902-000</t>
  </si>
  <si>
    <t xml:space="preserve">PX-RAV-4F-5902-025</t>
  </si>
  <si>
    <t xml:space="preserve">PX-RAV-4F-5902-050</t>
  </si>
  <si>
    <t xml:space="preserve">PX-REN-4A-3841-000</t>
  </si>
  <si>
    <t xml:space="preserve">PX-REN-4A-3841-000-A</t>
  </si>
  <si>
    <t xml:space="preserve">PX-REN-4A-3841-000-B</t>
  </si>
  <si>
    <t xml:space="preserve">PX-REN-4A-3841-000-C</t>
  </si>
  <si>
    <t xml:space="preserve">PX-REN-4A-3841-000-D</t>
  </si>
  <si>
    <t xml:space="preserve">PX-REN-4A-3841-000-E</t>
  </si>
  <si>
    <t xml:space="preserve">PX-REN-4A-3841-025</t>
  </si>
  <si>
    <t xml:space="preserve">PX-REN-4A-3841-025-A</t>
  </si>
  <si>
    <t xml:space="preserve">PX-REN-4A-3841-025-B</t>
  </si>
  <si>
    <t xml:space="preserve">PX-REN-4A-3841-025-C</t>
  </si>
  <si>
    <t xml:space="preserve">PX-REN-4A-3841-050</t>
  </si>
  <si>
    <t xml:space="preserve">PX-REN-4A-3841-050-A</t>
  </si>
  <si>
    <t xml:space="preserve">PX-REN-4A-3841-050-B</t>
  </si>
  <si>
    <t xml:space="preserve">PX-REN-4A-3841-050-C</t>
  </si>
  <si>
    <t xml:space="preserve">PX-REN-4A-3841-075</t>
  </si>
  <si>
    <t xml:space="preserve">PX-REN-4A-3841-075-A</t>
  </si>
  <si>
    <t xml:space="preserve">PX-REN-4A-3841-075-B</t>
  </si>
  <si>
    <t xml:space="preserve">PX-REN-4A-3841-075-C</t>
  </si>
  <si>
    <t xml:space="preserve">PX-REN-4A-3841-100</t>
  </si>
  <si>
    <t xml:space="preserve">PX-REN-4A-3841-100-A</t>
  </si>
  <si>
    <t xml:space="preserve">PX-REN-4A-3841-100-B</t>
  </si>
  <si>
    <t xml:space="preserve">PX-REN-4A-3841-100-C</t>
  </si>
  <si>
    <t xml:space="preserve">PX-REN-4A-3842-000</t>
  </si>
  <si>
    <t xml:space="preserve">PX-REN-4A-3842-000-A</t>
  </si>
  <si>
    <t xml:space="preserve">PX-REN-4A-3842-000-B</t>
  </si>
  <si>
    <t xml:space="preserve">PX-REN-4A-3842-000-C</t>
  </si>
  <si>
    <t xml:space="preserve">PX-REN-4A-3842-000-D</t>
  </si>
  <si>
    <t xml:space="preserve">PX-REN-4A-3842-000-E</t>
  </si>
  <si>
    <t xml:space="preserve">PX-REN-4A-3842-025</t>
  </si>
  <si>
    <t xml:space="preserve">PX-REN-4A-3842-025-A</t>
  </si>
  <si>
    <t xml:space="preserve">PX-REN-4A-3842-025-B</t>
  </si>
  <si>
    <t xml:space="preserve">PX-REN-4A-3842-025-C</t>
  </si>
  <si>
    <t xml:space="preserve">PX-REN-4A-3842-050</t>
  </si>
  <si>
    <t xml:space="preserve">PX-REN-4A-3842-050-A</t>
  </si>
  <si>
    <t xml:space="preserve">PX-REN-4A-3842-050-B</t>
  </si>
  <si>
    <t xml:space="preserve">PX-REN-4A-3842-050-C</t>
  </si>
  <si>
    <t xml:space="preserve">PX-REN-4A-3842-075</t>
  </si>
  <si>
    <t xml:space="preserve">PX-REN-4A-3842-075-A</t>
  </si>
  <si>
    <t xml:space="preserve">PX-REN-4A-3842-075-B</t>
  </si>
  <si>
    <t xml:space="preserve">PX-REN-4A-3842-075-C</t>
  </si>
  <si>
    <t xml:space="preserve">PX-REN-4A-3842-100</t>
  </si>
  <si>
    <t xml:space="preserve">PX-REN-4A-3842-100-A</t>
  </si>
  <si>
    <t xml:space="preserve">PX-REN-4A-3842-100-B</t>
  </si>
  <si>
    <t xml:space="preserve">PX-REN-4A-3842-100-C</t>
  </si>
  <si>
    <t xml:space="preserve">PX-SEN-4A-4125-000</t>
  </si>
  <si>
    <t xml:space="preserve">PX-SEN-4A-4125-025</t>
  </si>
  <si>
    <t xml:space="preserve">PX-SEN-4A-4125-050</t>
  </si>
  <si>
    <t xml:space="preserve">PX-SEN-4A-4126-000</t>
  </si>
  <si>
    <t xml:space="preserve">PX-SEN-4A-4126-025</t>
  </si>
  <si>
    <t xml:space="preserve">PX-SEN-4A-4126-050</t>
  </si>
  <si>
    <t xml:space="preserve">PX-SEN-4F-4125-000</t>
  </si>
  <si>
    <t xml:space="preserve">PX-SEN-4F-4125-025</t>
  </si>
  <si>
    <t xml:space="preserve">PX-SEN-4F-4125-050</t>
  </si>
  <si>
    <t xml:space="preserve">PX-SEN-4F-4126-000</t>
  </si>
  <si>
    <t xml:space="preserve">PX-SEN-4F-4126-025</t>
  </si>
  <si>
    <t xml:space="preserve">PX-SEN-4F-4126-050</t>
  </si>
  <si>
    <t xml:space="preserve">PX-SEN-4G-4125-000</t>
  </si>
  <si>
    <t xml:space="preserve">PX-SEN-4G-4125-025</t>
  </si>
  <si>
    <t xml:space="preserve">PX-SEN-4G-4125-050</t>
  </si>
  <si>
    <t xml:space="preserve">PX-TAV-4A-4120-000-2</t>
  </si>
  <si>
    <t xml:space="preserve">PX-TAV-4A-4120-025-2</t>
  </si>
  <si>
    <t xml:space="preserve">PX-TAV-4A-4120-050-2</t>
  </si>
  <si>
    <t xml:space="preserve">PX-TAV-4A-4120-100-2</t>
  </si>
  <si>
    <t xml:space="preserve">PX-TAV-4F-4120-000</t>
  </si>
  <si>
    <t xml:space="preserve">PX-TAV-4F-4120-025</t>
  </si>
  <si>
    <t xml:space="preserve">PX-TAV-4F-4120-050</t>
  </si>
  <si>
    <t xml:space="preserve">PX-TAV-4F-4120-100</t>
  </si>
  <si>
    <t xml:space="preserve">PX-TAV-4F-4120-000-2</t>
  </si>
  <si>
    <t xml:space="preserve">PX-TAV-4F-4120-025-2</t>
  </si>
  <si>
    <t xml:space="preserve">PX-TAV-4F-4120-050-2</t>
  </si>
  <si>
    <t xml:space="preserve">PX-TAV-4F-4120-100-2</t>
  </si>
  <si>
    <t xml:space="preserve">PX-TAV-4G-4120-000-2</t>
  </si>
  <si>
    <t xml:space="preserve">PX-TAV-4G-4120-025-2</t>
  </si>
  <si>
    <t xml:space="preserve">PX-TAV-4G-4120-050-2</t>
  </si>
  <si>
    <t xml:space="preserve">PX-TAV-4G-4120-100-2</t>
  </si>
  <si>
    <t xml:space="preserve">PX-UAZ-4A-5658-000-A</t>
  </si>
  <si>
    <t xml:space="preserve">PX-UAZ-4A-5658-000-B</t>
  </si>
  <si>
    <t xml:space="preserve">PX-UAZ-4A-5658-000-C</t>
  </si>
  <si>
    <t xml:space="preserve">PX-UAZ-4A-5658-000-D</t>
  </si>
  <si>
    <t xml:space="preserve">PX-UAZ-4A-5658-000-E</t>
  </si>
  <si>
    <t xml:space="preserve">PX-UAZ-4A-5658-050-A</t>
  </si>
  <si>
    <t xml:space="preserve">PX-UAZ-4A-5658-050-B</t>
  </si>
  <si>
    <t xml:space="preserve">PX-UAZ-4A-5658-050-C</t>
  </si>
  <si>
    <t xml:space="preserve">PX-UAZ-4A-5658-050-D</t>
  </si>
  <si>
    <t xml:space="preserve">PX-UAZ-4A-5658-050-E</t>
  </si>
  <si>
    <t xml:space="preserve">PX-UAZ-4A-5658-100-A</t>
  </si>
  <si>
    <t xml:space="preserve">PX-UAZ-4A-5658-100-B</t>
  </si>
  <si>
    <t xml:space="preserve">PX-UAZ-4A-5658-100-C</t>
  </si>
  <si>
    <t xml:space="preserve">PX-UAZ-4A-5658-100-D</t>
  </si>
  <si>
    <t xml:space="preserve">PX-UAZ-4A-5658-100-E</t>
  </si>
  <si>
    <t xml:space="preserve">PX-UAZ-4A-5660-000</t>
  </si>
  <si>
    <t xml:space="preserve">PX-UAZ-4A-5660-000-A</t>
  </si>
  <si>
    <t xml:space="preserve">PX-UAZ-4A-5660-000-B</t>
  </si>
  <si>
    <t xml:space="preserve">PX-UAZ-4A-5660-000-C</t>
  </si>
  <si>
    <t xml:space="preserve">PX-UAZ-4A-5660-000-D</t>
  </si>
  <si>
    <t xml:space="preserve">PX-UAZ-4A-5660-000-E</t>
  </si>
  <si>
    <t xml:space="preserve">PX-UAZ-4A-5660-050</t>
  </si>
  <si>
    <t xml:space="preserve">PX-UAZ-4A-5660-050-A</t>
  </si>
  <si>
    <t xml:space="preserve">PX-UAZ-4A-5660-050-B</t>
  </si>
  <si>
    <t xml:space="preserve">PX-UAZ-4A-5660-050-C</t>
  </si>
  <si>
    <t xml:space="preserve">PX-UAZ-4A-5660-050-D</t>
  </si>
  <si>
    <t xml:space="preserve">PX-UAZ-4A-5660-050-E</t>
  </si>
  <si>
    <t xml:space="preserve">PX-UAZ-4A-5660-100</t>
  </si>
  <si>
    <t xml:space="preserve">PX-UAZ-4A-5660-100-A</t>
  </si>
  <si>
    <t xml:space="preserve">PX-UAZ-4A-5660-100-B</t>
  </si>
  <si>
    <t xml:space="preserve">PX-UAZ-4A-5660-100-C</t>
  </si>
  <si>
    <t xml:space="preserve">PX-WOL-4A-5650-000</t>
  </si>
  <si>
    <t xml:space="preserve">PX-WOL-4A-5650-000-A</t>
  </si>
  <si>
    <t xml:space="preserve">PX-WOL-4A-5650-000-B</t>
  </si>
  <si>
    <t xml:space="preserve">PX-WOL-4A-5650-000-C</t>
  </si>
  <si>
    <t xml:space="preserve">PX-WOL-4A-5650-000-D</t>
  </si>
  <si>
    <t xml:space="preserve">PX-WOL-4A-5650-000-E</t>
  </si>
  <si>
    <t xml:space="preserve">PX-WOL-4A-5650-025</t>
  </si>
  <si>
    <t xml:space="preserve">PX-WOL-4A-5650-025-A</t>
  </si>
  <si>
    <t xml:space="preserve">PX-WOL-4A-5650-025-B</t>
  </si>
  <si>
    <t xml:space="preserve">PX-WOL-4A-5650-025-C</t>
  </si>
  <si>
    <t xml:space="preserve">PX-WOL-4A-5650-050</t>
  </si>
  <si>
    <t xml:space="preserve">PX-WOL-4A-5650-050-A</t>
  </si>
  <si>
    <t xml:space="preserve">PX-WOL-4A-5650-050-B</t>
  </si>
  <si>
    <t xml:space="preserve">PX-WOL-4A-5650-050-C</t>
  </si>
  <si>
    <t xml:space="preserve">PX-WOL-4A-5650-100</t>
  </si>
  <si>
    <t xml:space="preserve">PX-WOL-4A-5650-100-A</t>
  </si>
  <si>
    <t xml:space="preserve">PX-WOL-4A-5650-100-B</t>
  </si>
  <si>
    <t xml:space="preserve">PX-WOL-4A-5650-100-C</t>
  </si>
  <si>
    <t xml:space="preserve">PX-WOL-4A-5650-150</t>
  </si>
  <si>
    <t xml:space="preserve">PX-WOL-4A-5650-150-A</t>
  </si>
  <si>
    <t xml:space="preserve">PX-WOL-4A-5650-150-B</t>
  </si>
  <si>
    <t xml:space="preserve">PX-WOL-4A-5650-150-C</t>
  </si>
  <si>
    <t xml:space="preserve">PX-WOL-4A-5652-000</t>
  </si>
  <si>
    <t xml:space="preserve">PX-WOL-4A-5652-000-A</t>
  </si>
  <si>
    <t xml:space="preserve">PX-WOL-4A-5652-000-B</t>
  </si>
  <si>
    <t xml:space="preserve">PX-WOL-4A-5652-000-C</t>
  </si>
  <si>
    <t xml:space="preserve">PX-WOL-4A-5652-050</t>
  </si>
  <si>
    <t xml:space="preserve">PX-WOL-4A-5652-050-A</t>
  </si>
  <si>
    <t xml:space="preserve">PX-WOL-4A-5652-050-B</t>
  </si>
  <si>
    <t xml:space="preserve">PX-WOL-4A-5652-050-C</t>
  </si>
  <si>
    <t xml:space="preserve">PX-WOL-4A-5652-100</t>
  </si>
  <si>
    <t xml:space="preserve">PX-WOL-4A-5652-100-A</t>
  </si>
  <si>
    <t xml:space="preserve">PX-WOL-4A-5652-100-B</t>
  </si>
  <si>
    <t xml:space="preserve">PX-WOL-4A-5652-100-C</t>
  </si>
  <si>
    <t xml:space="preserve">PX-WOL-4A-5653-000</t>
  </si>
  <si>
    <t xml:space="preserve">PX-WOL-4A-5653-000-A</t>
  </si>
  <si>
    <t xml:space="preserve">PX-WOL-4A-5653-000-B</t>
  </si>
  <si>
    <t xml:space="preserve">PX-WOL-4A-5653-000-C</t>
  </si>
  <si>
    <t xml:space="preserve">PX-WOL-4A-5653-000-D</t>
  </si>
  <si>
    <t xml:space="preserve">PX-WOL-4A-5653-000-E</t>
  </si>
  <si>
    <t xml:space="preserve">PX-WOL-4A-5653-025</t>
  </si>
  <si>
    <t xml:space="preserve">PX-WOL-4A-5653-025-A</t>
  </si>
  <si>
    <t xml:space="preserve">PX-WOL-4A-5653-025-B</t>
  </si>
  <si>
    <t xml:space="preserve">PX-WOL-4A-5653-025-C</t>
  </si>
  <si>
    <t xml:space="preserve">PX-WOL-4A-5653-025-D</t>
  </si>
  <si>
    <t xml:space="preserve">PX-WOL-4A-5653-025-E</t>
  </si>
  <si>
    <t xml:space="preserve">PX-WOL-4A-5653-050</t>
  </si>
  <si>
    <t xml:space="preserve">PX-WOL-4A-5653-050-A</t>
  </si>
  <si>
    <t xml:space="preserve">PX-WOL-4A-5653-050-B</t>
  </si>
  <si>
    <t xml:space="preserve">PX-WOL-4A-5653-050-C</t>
  </si>
  <si>
    <t xml:space="preserve">PX-WOL-4A-5653-100</t>
  </si>
  <si>
    <t xml:space="preserve">PX-WOL-4A-5653-100-A</t>
  </si>
  <si>
    <t xml:space="preserve">PX-WOL-4A-5653-100-B</t>
  </si>
  <si>
    <t xml:space="preserve">PX-WOL-4A-5653-100-C</t>
  </si>
  <si>
    <t xml:space="preserve">PX-WOL-4A-5653-150</t>
  </si>
  <si>
    <t xml:space="preserve">PX-WOL-4A-5653-150-A</t>
  </si>
  <si>
    <t xml:space="preserve">PX-WOL-4A-5653-150-B</t>
  </si>
  <si>
    <t xml:space="preserve">PX-WOL-4A-5653-150-C</t>
  </si>
  <si>
    <t xml:space="preserve">PX-WOL-4A-5654-000-A</t>
  </si>
  <si>
    <t xml:space="preserve">PX-WOL-4A-5654-000-B</t>
  </si>
  <si>
    <t xml:space="preserve">PX-WOL-4A-5654-000-C</t>
  </si>
  <si>
    <t xml:space="preserve">PX-WOL-4A-5654-000-D</t>
  </si>
  <si>
    <t xml:space="preserve">PX-WOL-4A-5654-000-E</t>
  </si>
  <si>
    <t xml:space="preserve">PX-WOL-4A-5654-050-A</t>
  </si>
  <si>
    <t xml:space="preserve">PX-WOL-4A-5654-050-B</t>
  </si>
  <si>
    <t xml:space="preserve">PX-WOL-4A-5654-050-C</t>
  </si>
  <si>
    <t xml:space="preserve">PX-WOL-4A-5654-050-D</t>
  </si>
  <si>
    <t xml:space="preserve">PX-WOL-4A-5654-050-E</t>
  </si>
  <si>
    <t xml:space="preserve">PX-WOL-4A-5654-100-A</t>
  </si>
  <si>
    <t xml:space="preserve">PX-WOL-4A-5654-100-B</t>
  </si>
  <si>
    <t xml:space="preserve">PX-WOL-4A-5654-100-C</t>
  </si>
  <si>
    <t xml:space="preserve">PX-WOL-4A-5654-100-D</t>
  </si>
  <si>
    <t xml:space="preserve">PX-WOL-4A-5654-100-E</t>
  </si>
  <si>
    <t xml:space="preserve">PX-WOL-4A-5655-000-A</t>
  </si>
  <si>
    <t xml:space="preserve">PX-WOL-4A-5655-000-B</t>
  </si>
  <si>
    <t xml:space="preserve">PX-WOL-4A-5655-000-C</t>
  </si>
  <si>
    <t xml:space="preserve">PX-WOL-4A-5655-000-D</t>
  </si>
  <si>
    <t xml:space="preserve">PX-WOL-4A-5655-000-E</t>
  </si>
  <si>
    <t xml:space="preserve">PX-WOL-4A-5655-050-A</t>
  </si>
  <si>
    <t xml:space="preserve">PX-WOL-4A-5655-050-B</t>
  </si>
  <si>
    <t xml:space="preserve">PX-WOL-4A-5655-050-C</t>
  </si>
  <si>
    <t xml:space="preserve">PX-WOL-4A-5655-050-D</t>
  </si>
  <si>
    <t xml:space="preserve">PX-WOL-4A-5655-050-E</t>
  </si>
  <si>
    <t xml:space="preserve">PX-WOL-4A-5655-100-A</t>
  </si>
  <si>
    <t xml:space="preserve">PX-WOL-4A-5655-100-B</t>
  </si>
  <si>
    <t xml:space="preserve">PX-WOL-4A-5655-100-C</t>
  </si>
  <si>
    <t xml:space="preserve">PX-WOL-4A-5655-100-D</t>
  </si>
  <si>
    <t xml:space="preserve">PX-WOL-4A-5655-100-E</t>
  </si>
  <si>
    <t xml:space="preserve">PX-WOL-4A-5656-000</t>
  </si>
  <si>
    <t xml:space="preserve">PX-WOL-4A-5656-000-A</t>
  </si>
  <si>
    <t xml:space="preserve">PX-WOL-4A-5656-000-B</t>
  </si>
  <si>
    <t xml:space="preserve">PX-WOL-4A-5656-000-C</t>
  </si>
  <si>
    <t xml:space="preserve">PX-WOL-4A-5656-000-D</t>
  </si>
  <si>
    <t xml:space="preserve">PX-WOL-4A-5656-000-E</t>
  </si>
  <si>
    <t xml:space="preserve">PX-WOL-4A-5656-050</t>
  </si>
  <si>
    <t xml:space="preserve">PX-WOL-4A-5656-050-A</t>
  </si>
  <si>
    <t xml:space="preserve">PX-WOL-4A-5656-050-B</t>
  </si>
  <si>
    <t xml:space="preserve">PX-WOL-4A-5656-050-C</t>
  </si>
  <si>
    <t xml:space="preserve">PX-WOL-4A-5656-050-D</t>
  </si>
  <si>
    <t xml:space="preserve">PX-WOL-4A-5656-050-E</t>
  </si>
  <si>
    <t xml:space="preserve">PX-WOL-4A-5656-100</t>
  </si>
  <si>
    <t xml:space="preserve">PX-WOL-4A-5656-100-A</t>
  </si>
  <si>
    <t xml:space="preserve">PX-WOL-4A-5656-100-B</t>
  </si>
  <si>
    <t xml:space="preserve">PX-WOL-4A-5656-100-C</t>
  </si>
  <si>
    <t xml:space="preserve">PX-WOL-4A-5656-100-D</t>
  </si>
  <si>
    <t xml:space="preserve">PX-WOL-4A-5656-100-E</t>
  </si>
  <si>
    <t xml:space="preserve">PX-WOL-4A-5657-000-A</t>
  </si>
  <si>
    <t xml:space="preserve">PX-WOL-4A-5657-000-B</t>
  </si>
  <si>
    <t xml:space="preserve">PX-WOL-4A-5657-000-C</t>
  </si>
  <si>
    <t xml:space="preserve">PX-WOL-4A-5657-000-D</t>
  </si>
  <si>
    <t xml:space="preserve">PX-WOL-4A-5657-000-E</t>
  </si>
  <si>
    <t xml:space="preserve">PX-WOL-4A-5657-050-A</t>
  </si>
  <si>
    <t xml:space="preserve">PX-WOL-4A-5657-050-B</t>
  </si>
  <si>
    <t xml:space="preserve">PX-WOL-4A-5657-050-C</t>
  </si>
  <si>
    <t xml:space="preserve">PX-WOL-4A-5657-050-D</t>
  </si>
  <si>
    <t xml:space="preserve">PX-WOL-4A-5657-050-E</t>
  </si>
  <si>
    <t xml:space="preserve">PX-WOL-4A-5657-100-A</t>
  </si>
  <si>
    <t xml:space="preserve">PX-WOL-4A-5657-100-B</t>
  </si>
  <si>
    <t xml:space="preserve">PX-WOL-4A-5657-100-C</t>
  </si>
  <si>
    <t xml:space="preserve">PX-WOL-4A-5657-100-D</t>
  </si>
  <si>
    <t xml:space="preserve">PX-WOL-4A-5657-100-E</t>
  </si>
  <si>
    <t xml:space="preserve">PX-WOL-4A-5659-000-A</t>
  </si>
  <si>
    <t xml:space="preserve">PX-WOL-4A-5659-000-B</t>
  </si>
  <si>
    <t xml:space="preserve">PX-WOL-4A-5659-000-C</t>
  </si>
  <si>
    <t xml:space="preserve">PX-WOL-4A-5659-000-D</t>
  </si>
  <si>
    <t xml:space="preserve">PX-WOL-4A-5659-000-E</t>
  </si>
  <si>
    <t xml:space="preserve">PX-WOL-4A-5659-050-A</t>
  </si>
  <si>
    <t xml:space="preserve">PX-WOL-4A-5659-050-B</t>
  </si>
  <si>
    <t xml:space="preserve">PX-WOL-4A-5659-050-C</t>
  </si>
  <si>
    <t xml:space="preserve">PX-WOL-4A-5659-050-D</t>
  </si>
  <si>
    <t xml:space="preserve">PX-WOL-4A-5659-050-E</t>
  </si>
  <si>
    <t xml:space="preserve">PX-WOL-4A-5659-100-A</t>
  </si>
  <si>
    <t xml:space="preserve">PX-WOL-4A-5659-100-B</t>
  </si>
  <si>
    <t xml:space="preserve">PX-WOL-4A-5659-100-C</t>
  </si>
  <si>
    <t xml:space="preserve">PX-WOL-4A-5659-100-D</t>
  </si>
  <si>
    <t xml:space="preserve">PX-WOL-4A-5659-100-E</t>
  </si>
  <si>
    <t xml:space="preserve">TC-1401-000</t>
  </si>
  <si>
    <t xml:space="preserve">DAE</t>
  </si>
  <si>
    <t xml:space="preserve">1</t>
  </si>
  <si>
    <t xml:space="preserve">TC-1401-025</t>
  </si>
  <si>
    <t xml:space="preserve">TC-1401-050</t>
  </si>
  <si>
    <t xml:space="preserve">TC-1401-075</t>
  </si>
  <si>
    <t xml:space="preserve">TC-1401-100</t>
  </si>
  <si>
    <t xml:space="preserve">TC-1401-125</t>
  </si>
  <si>
    <t xml:space="preserve">TC-1401-150</t>
  </si>
  <si>
    <t xml:space="preserve">TC-1401-175</t>
  </si>
  <si>
    <t xml:space="preserve">TC-1401-200</t>
  </si>
  <si>
    <t xml:space="preserve">TC-1551-000</t>
  </si>
  <si>
    <t xml:space="preserve">CHE</t>
  </si>
  <si>
    <t xml:space="preserve">TC-3538-000</t>
  </si>
  <si>
    <t xml:space="preserve">TC-3538-025</t>
  </si>
  <si>
    <t xml:space="preserve">TC-3538-050</t>
  </si>
  <si>
    <t xml:space="preserve">TC-3538-075</t>
  </si>
  <si>
    <t xml:space="preserve">TC-3548-000</t>
  </si>
  <si>
    <t xml:space="preserve">TC-3548-025</t>
  </si>
  <si>
    <t xml:space="preserve">TC-3548-050</t>
  </si>
  <si>
    <t xml:space="preserve">TC-3548-075</t>
  </si>
  <si>
    <t xml:space="preserve">TC-3549-000</t>
  </si>
  <si>
    <t xml:space="preserve">TC-3549-025</t>
  </si>
  <si>
    <t xml:space="preserve">TC-3549-050</t>
  </si>
  <si>
    <t xml:space="preserve">TC-5221-000</t>
  </si>
  <si>
    <t xml:space="preserve">LAD</t>
  </si>
  <si>
    <t xml:space="preserve">TC-5501-050</t>
  </si>
  <si>
    <t xml:space="preserve">TC-55011-000</t>
  </si>
  <si>
    <t xml:space="preserve">TC-5503-000</t>
  </si>
  <si>
    <t xml:space="preserve">TC-5506-000</t>
  </si>
  <si>
    <t xml:space="preserve">TC-5521-055</t>
  </si>
  <si>
    <t xml:space="preserve">TC-5901-025</t>
  </si>
  <si>
    <t xml:space="preserve">TC-5901-000</t>
  </si>
  <si>
    <t xml:space="preserve">RAV</t>
  </si>
  <si>
    <t xml:space="preserve">TC-5902-000</t>
  </si>
  <si>
    <t xml:space="preserve">TC-5902-025</t>
  </si>
  <si>
    <t xml:space="preserve">TC-5902-050</t>
  </si>
  <si>
    <t xml:space="preserve">TC-5902-075</t>
  </si>
  <si>
    <t xml:space="preserve">TC-5950-SET</t>
  </si>
  <si>
    <t xml:space="preserve">MTZ</t>
  </si>
  <si>
    <t xml:space="preserve">000</t>
  </si>
  <si>
    <t xml:space="preserve">TC-5951-000</t>
  </si>
  <si>
    <t xml:space="preserve">TC-5952-000</t>
  </si>
  <si>
    <t xml:space="preserve">TC-5952-030</t>
  </si>
  <si>
    <t xml:space="preserve">TC-5952-070</t>
  </si>
  <si>
    <t xml:space="preserve">TC-5953-000</t>
  </si>
  <si>
    <t xml:space="preserve">TC-5954-000</t>
  </si>
  <si>
    <t xml:space="preserve">TC-5954-050</t>
  </si>
  <si>
    <t xml:space="preserve">TC-5955-000</t>
  </si>
  <si>
    <t xml:space="preserve">TC-5955-050</t>
  </si>
  <si>
    <t xml:space="preserve">TC-5956-000</t>
  </si>
  <si>
    <t xml:space="preserve">D16</t>
  </si>
  <si>
    <t xml:space="preserve">UNI</t>
  </si>
  <si>
    <t xml:space="preserve">GAS-SUPER</t>
  </si>
  <si>
    <t xml:space="preserve">D161</t>
  </si>
  <si>
    <t xml:space="preserve">D162</t>
  </si>
  <si>
    <t xml:space="preserve">D163</t>
  </si>
  <si>
    <t xml:space="preserve">D21</t>
  </si>
  <si>
    <t xml:space="preserve">D21S</t>
  </si>
  <si>
    <t xml:space="preserve">Кільця</t>
  </si>
  <si>
    <t xml:space="preserve">Клапани</t>
  </si>
  <si>
    <t xml:space="preserve">Втулки</t>
  </si>
  <si>
    <t xml:space="preserve">Пальці</t>
  </si>
  <si>
    <t xml:space="preserve">Поршні</t>
  </si>
  <si>
    <t xml:space="preserve">Гільзи</t>
  </si>
  <si>
    <t xml:space="preserve">Свічки</t>
  </si>
  <si>
    <t xml:space="preserve">Неправильный</t>
  </si>
  <si>
    <t xml:space="preserve">Артикул</t>
  </si>
  <si>
    <t xml:space="preserve">XWOL-406-GREEN</t>
  </si>
  <si>
    <t xml:space="preserve">XWOL-406-RED</t>
  </si>
  <si>
    <t xml:space="preserve">XWOL-406-WHITE</t>
  </si>
  <si>
    <t xml:space="preserve">XWOL-406-YELLOW</t>
  </si>
  <si>
    <t xml:space="preserve">XWOL-405-GREEN</t>
  </si>
  <si>
    <t xml:space="preserve">XWOL-405-RED</t>
  </si>
  <si>
    <t xml:space="preserve">XWOL-405-WHITE</t>
  </si>
  <si>
    <t xml:space="preserve">XWOL-405-YELLOW</t>
  </si>
  <si>
    <t xml:space="preserve">PR-SMD-44-6000-000-SET</t>
  </si>
  <si>
    <t xml:space="preserve">PR-SMD-44-6000-070-SET</t>
  </si>
  <si>
    <t xml:space="preserve">PR-SMD-47-6000-000-SET</t>
  </si>
  <si>
    <t xml:space="preserve">PR-SMD-47-6000-070-SET</t>
  </si>
  <si>
    <t xml:space="preserve">PR-KAM-84-4804-000-SET</t>
  </si>
  <si>
    <t xml:space="preserve">PR-KAM-87-4804-000-SET</t>
  </si>
  <si>
    <t xml:space="preserve">PGGG002</t>
  </si>
  <si>
    <t xml:space="preserve">PGGG033-S-0-N</t>
  </si>
  <si>
    <t xml:space="preserve">PGGG034-B-0-N </t>
  </si>
  <si>
    <t xml:space="preserve">PGGG031</t>
  </si>
  <si>
    <t xml:space="preserve">PGGG030</t>
  </si>
  <si>
    <t xml:space="preserve">PGGG006</t>
  </si>
  <si>
    <t xml:space="preserve">PGGG007</t>
  </si>
  <si>
    <t xml:space="preserve">PKAM001-S-0-N/6</t>
  </si>
  <si>
    <t xml:space="preserve">PKAM002-B-0-N/6</t>
  </si>
  <si>
    <t xml:space="preserve">PR-SEN-44-4125-000-SET </t>
  </si>
  <si>
    <t xml:space="preserve">JDAE004-STD-PROF (G-P-0)</t>
  </si>
  <si>
    <t xml:space="preserve">JZIL001-STD-PROF (G-P-0)</t>
  </si>
  <si>
    <t xml:space="preserve">JZIL001-R2-PROF (G-P-2)</t>
  </si>
  <si>
    <t xml:space="preserve">JZIL001-R1-PROF (G-P-1)</t>
  </si>
  <si>
    <t xml:space="preserve">JZIL001-R1 (G-S-1)</t>
  </si>
  <si>
    <t xml:space="preserve">JZIL001-R2 (G-S-2)</t>
  </si>
  <si>
    <t xml:space="preserve">JZIL002-STD-PROF (G-P-0)</t>
  </si>
  <si>
    <t xml:space="preserve">JZIL002-R1-PROF (G-P-1)</t>
  </si>
  <si>
    <t xml:space="preserve">JZIL002-R2-PROF (G-P-2)</t>
  </si>
  <si>
    <t xml:space="preserve">JZIL002-R1 (G-S-1)</t>
  </si>
  <si>
    <t xml:space="preserve">JZIL002-R2 (G-S-2)</t>
  </si>
  <si>
    <t xml:space="preserve">JKAM001-R2-PROF (G-P-2)</t>
  </si>
  <si>
    <t xml:space="preserve">JKAM001-R2</t>
  </si>
  <si>
    <t xml:space="preserve">JMTZ003-R1-PROF</t>
  </si>
  <si>
    <t xml:space="preserve">XLAD-53-RED (XLAD-53)</t>
  </si>
  <si>
    <t xml:space="preserve">XLAD-53-RED</t>
  </si>
  <si>
    <t xml:space="preserve">XYAM-XX</t>
  </si>
  <si>
    <t xml:space="preserve">PX-CUM-1R-0812-000(B)</t>
  </si>
  <si>
    <t xml:space="preserve">PX-CUM-1R-0812-000(А)</t>
  </si>
  <si>
    <t xml:space="preserve">PX-LAD-4А-2805-100-B</t>
  </si>
  <si>
    <t xml:space="preserve">PX-LAD-4А-2805-025</t>
  </si>
  <si>
    <t xml:space="preserve">PX-LAD-4A-2802-000-С</t>
  </si>
  <si>
    <t xml:space="preserve">PX-LAD-4A-2802-000-Е</t>
  </si>
  <si>
    <t xml:space="preserve">PX-LAD-4A-2802-040-С</t>
  </si>
  <si>
    <t xml:space="preserve">PX-LAD-4A-2802-040-Е</t>
  </si>
  <si>
    <t xml:space="preserve">PX-LAD-4A-2802-060-В</t>
  </si>
  <si>
    <t xml:space="preserve">PX-LAD-4A-2802-080-С</t>
  </si>
  <si>
    <t xml:space="preserve">PX-LAD-4A-2802-080-Е</t>
  </si>
  <si>
    <t xml:space="preserve">PX-LAD-4А-2805-075</t>
  </si>
  <si>
    <t xml:space="preserve">PX-DAE-FA-3548-025-2</t>
  </si>
  <si>
    <t xml:space="preserve">PX-DAE-4R-3538-000</t>
  </si>
  <si>
    <t xml:space="preserve">PX-DAE-4R-3538-025</t>
  </si>
  <si>
    <t xml:space="preserve">PX-DAE-4R-3538-050</t>
  </si>
  <si>
    <t xml:space="preserve">PX-DAE-4R-3538-075</t>
  </si>
  <si>
    <t xml:space="preserve">PX-DAE-4R-3538-100</t>
  </si>
  <si>
    <t xml:space="preserve">D-161</t>
  </si>
  <si>
    <t xml:space="preserve">D-162</t>
  </si>
  <si>
    <t xml:space="preserve">D-163</t>
  </si>
  <si>
    <t xml:space="preserve">D-16</t>
  </si>
  <si>
    <t xml:space="preserve">D-21S</t>
  </si>
  <si>
    <t xml:space="preserve">D-21</t>
  </si>
  <si>
    <t xml:space="preserve">| Поле           | Повна назва                                                | Що означає                                                                     | Навіщо потрібно                                                                            |</t>
  </si>
  <si>
    <t xml:space="preserve">| -------------- | ---------------------------------------------------------- | ------------------------------------------------------------------------------ | ------------------------------------------------------------------------------------------ |</t>
  </si>
  <si>
    <t xml:space="preserve">| **UOM**        | *Unit of Measure* — одиниця виміру                         | Наприклад: `шт`, `компл`, `л`, `м`                                             | Щоб розуміти, у чому обліковуються запаси, продажі, замовлення.                            |</t>
  </si>
  <si>
    <t xml:space="preserve">| **MOQ**        | *Minimum Order Quantity* — мінімальна кількість замовлення | Наприклад: `10`, якщо постачальник відвантажує тільки кратно 10                | Для розрахунку **рекомендованого замовлення**, щоб не замовити менше ніж можливо.          |</t>
  </si>
  <si>
    <t xml:space="preserve">| **LT_days**    | *Lead Time (days)* — термін постачання в днях              | Наприклад: `45` — товар іде 45 днів від замовлення до складу                   | Використовується у плануванні «заздалегідь» (коли треба зробити PO, щоб не було дефіциту). |</t>
  </si>
  <si>
    <t xml:space="preserve">| **SafetyDays** | *Safety Stock (days)* — запас безпеки в днях               | Наприклад: `14` — додаткові дні попиту «на всяк випадок»                       | Визначає страховий запас (додається до потреби при розрахунках «Итого»).                   |</t>
  </si>
  <si>
    <t xml:space="preserve">| **Weight_kg**  | Вага 1 одиниці SKU в кілограмах                            | Наприклад: `2.5`                                                               | Для логістики (розрахунок ваги замовлень, вартості перевезення).                           |</t>
  </si>
  <si>
    <t xml:space="preserve">| **Volume_m3**  | Об’єм 1 одиниці SKU у кубічних метрах                      | Наприклад: `0.015`                                                             | Для планування заповнення контейнерів або складських площ.                                 |</t>
  </si>
  <si>
    <t xml:space="preserve">| **Status**     | Статус SKU (`Active`, `Inactive`, `Archived`)              | Визначає, чи активний товар, тимчасово не постачається, чи знятий з обліку     | Щоб фільтрувати позиції у звітах (наприклад, «замовляти лише Active»).                     |</t>
  </si>
  <si>
    <t xml:space="preserve">| **StartDate**  | Дата початку активності SKU                                | Наприклад: `2024-01-01`                                                        | Коли товар з’явився у продажу (для аналітики або прогнозу).                                |</t>
  </si>
  <si>
    <t xml:space="preserve">| **EndDate**    | Дата закінчення активності                                 | Наприклад: `2025-06-30`                                                        | Коли товар буде знятий із постачання (не замовляти після цієї дати).                       |</t>
  </si>
  <si>
    <t xml:space="preserve">| **Notes**      | Примітки                                                   | Будь-які додаткові пояснення, наприклад «новий артикул», «заміна старого» тощо | Для ручних коментарів або уточнень ВНС / постачальників.                                   |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</si>
</sst>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9C0006"/>
      <name val="Calibri"/>
      <family val="2"/>
      <charset val="204"/>
    </font>
    <font>
      <sz val="11"/>
      <color theme="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  <fill>
      <patternFill patternType="solid">
        <fgColor theme="8"/>
        <bgColor rgb="FF666699"/>
      </patternFill>
    </fill>
    <fill>
      <patternFill patternType="solid">
        <fgColor theme="7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  <cellStyle name="Excel Built-in Accent5" xfId="21"/>
    <cellStyle name="Excel Built-in Accent4" xfId="22"/>
  </cellStyles>
  <dxfs count="12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30" activePane="bottomLeft" state="frozen"/>
      <selection pane="topLeft" activeCell="A1" activeCellId="0" sqref="A1"/>
      <selection pane="bottomLeft" activeCell="E249" activeCellId="0" sqref="E24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12.71"/>
    <col collapsed="false" customWidth="true" hidden="false" outlineLevel="0" max="3" min="3" style="0" width="12.29"/>
    <col collapsed="false" customWidth="true" hidden="false" outlineLevel="0" max="4" min="4" style="0" width="21"/>
    <col collapsed="false" customWidth="true" hidden="false" outlineLevel="0" max="5" min="5" style="0" width="19.14"/>
    <col collapsed="false" customWidth="true" hidden="false" outlineLevel="0" max="6" min="6" style="0" width="12.71"/>
    <col collapsed="false" customWidth="true" hidden="false" outlineLevel="0" max="7" min="7" style="0" width="15.85"/>
    <col collapsed="false" customWidth="true" hidden="false" outlineLevel="0" max="8" min="8" style="0" width="14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0" t="s">
        <v>8</v>
      </c>
      <c r="B2" s="0" t="n">
        <v>1</v>
      </c>
      <c r="C2" s="0" t="str">
        <f aca="false">MID(A2,4,3)</f>
        <v>CHE</v>
      </c>
      <c r="D2" s="0" t="str">
        <f aca="false">MID(A2,11,4)</f>
        <v>1405</v>
      </c>
      <c r="E2" s="0" t="s">
        <v>9</v>
      </c>
      <c r="F2" s="0" t="s">
        <v>10</v>
      </c>
      <c r="G2" s="0" t="str">
        <f aca="false">MID(A2,8,1)</f>
        <v>4</v>
      </c>
      <c r="H2" s="0" t="n">
        <v>1</v>
      </c>
    </row>
    <row r="3" customFormat="false" ht="15" hidden="false" customHeight="true" outlineLevel="0" collapsed="false">
      <c r="A3" s="0" t="s">
        <v>11</v>
      </c>
      <c r="B3" s="0" t="n">
        <v>1</v>
      </c>
      <c r="C3" s="0" t="str">
        <f aca="false">MID(A3,4,3)</f>
        <v>CHE</v>
      </c>
      <c r="D3" s="0" t="str">
        <f aca="false">MID(A3,11,4)</f>
        <v>1405</v>
      </c>
      <c r="E3" s="0" t="s">
        <v>12</v>
      </c>
      <c r="F3" s="0" t="s">
        <v>10</v>
      </c>
      <c r="G3" s="0" t="str">
        <f aca="false">MID(A3,8,1)</f>
        <v>4</v>
      </c>
      <c r="H3" s="0" t="n">
        <v>1</v>
      </c>
    </row>
    <row r="4" customFormat="false" ht="15" hidden="false" customHeight="true" outlineLevel="0" collapsed="false">
      <c r="A4" s="0" t="s">
        <v>13</v>
      </c>
      <c r="B4" s="0" t="n">
        <v>1</v>
      </c>
      <c r="C4" s="0" t="str">
        <f aca="false">MID(A4,4,3)</f>
        <v>CHE</v>
      </c>
      <c r="D4" s="0" t="str">
        <f aca="false">MID(A4,11,4)</f>
        <v>1405</v>
      </c>
      <c r="E4" s="0" t="s">
        <v>14</v>
      </c>
      <c r="F4" s="0" t="s">
        <v>10</v>
      </c>
      <c r="G4" s="0" t="str">
        <f aca="false">MID(A4,8,1)</f>
        <v>4</v>
      </c>
      <c r="H4" s="0" t="n">
        <v>1</v>
      </c>
    </row>
    <row r="5" customFormat="false" ht="15" hidden="false" customHeight="true" outlineLevel="0" collapsed="false">
      <c r="A5" s="0" t="s">
        <v>15</v>
      </c>
      <c r="B5" s="0" t="n">
        <v>1</v>
      </c>
      <c r="C5" s="0" t="str">
        <f aca="false">MID(A5,4,3)</f>
        <v>CHE</v>
      </c>
      <c r="D5" s="0" t="str">
        <f aca="false">MID(A5,11,4)</f>
        <v>1590</v>
      </c>
      <c r="E5" s="0" t="s">
        <v>16</v>
      </c>
      <c r="F5" s="0" t="s">
        <v>10</v>
      </c>
      <c r="G5" s="0" t="str">
        <f aca="false">MID(A5,8,1)</f>
        <v>4</v>
      </c>
      <c r="H5" s="0" t="n">
        <v>1</v>
      </c>
    </row>
    <row r="6" customFormat="false" ht="15" hidden="false" customHeight="true" outlineLevel="0" collapsed="false">
      <c r="A6" s="0" t="s">
        <v>17</v>
      </c>
      <c r="B6" s="0" t="n">
        <v>1</v>
      </c>
      <c r="C6" s="0" t="str">
        <f aca="false">MID(A6,4,3)</f>
        <v>CHE</v>
      </c>
      <c r="D6" s="0" t="str">
        <f aca="false">MID(A6,11,4)</f>
        <v>1590</v>
      </c>
      <c r="E6" s="0" t="s">
        <v>18</v>
      </c>
      <c r="F6" s="0" t="s">
        <v>10</v>
      </c>
      <c r="G6" s="0" t="str">
        <f aca="false">MID(A6,8,1)</f>
        <v>4</v>
      </c>
      <c r="H6" s="0" t="n">
        <v>1</v>
      </c>
    </row>
    <row r="7" customFormat="false" ht="15" hidden="false" customHeight="true" outlineLevel="0" collapsed="false">
      <c r="A7" s="0" t="s">
        <v>19</v>
      </c>
      <c r="B7" s="0" t="n">
        <v>1</v>
      </c>
      <c r="C7" s="0" t="str">
        <f aca="false">MID(A7,4,3)</f>
        <v>CHE</v>
      </c>
      <c r="D7" s="0" t="str">
        <f aca="false">MID(A7,11,4)</f>
        <v>1590</v>
      </c>
      <c r="E7" s="0" t="s">
        <v>20</v>
      </c>
      <c r="F7" s="0" t="s">
        <v>10</v>
      </c>
      <c r="G7" s="0" t="str">
        <f aca="false">MID(A7,8,1)</f>
        <v>4</v>
      </c>
      <c r="H7" s="0" t="n">
        <v>1</v>
      </c>
    </row>
    <row r="8" customFormat="false" ht="15" hidden="false" customHeight="true" outlineLevel="0" collapsed="false">
      <c r="A8" s="0" t="s">
        <v>21</v>
      </c>
      <c r="B8" s="0" t="n">
        <v>1</v>
      </c>
      <c r="C8" s="0" t="str">
        <f aca="false">MID(A8,4,3)</f>
        <v>CHE</v>
      </c>
      <c r="D8" s="0" t="str">
        <f aca="false">MID(A8,11,4)</f>
        <v>3549</v>
      </c>
      <c r="E8" s="0" t="s">
        <v>22</v>
      </c>
      <c r="F8" s="0" t="s">
        <v>10</v>
      </c>
      <c r="G8" s="0" t="str">
        <f aca="false">MID(A8,8,1)</f>
        <v>4</v>
      </c>
      <c r="H8" s="0" t="n">
        <v>1</v>
      </c>
    </row>
    <row r="9" customFormat="false" ht="15" hidden="false" customHeight="true" outlineLevel="0" collapsed="false">
      <c r="A9" s="0" t="s">
        <v>23</v>
      </c>
      <c r="B9" s="0" t="n">
        <v>1</v>
      </c>
      <c r="C9" s="0" t="str">
        <f aca="false">MID(A9,4,3)</f>
        <v>CHE</v>
      </c>
      <c r="D9" s="0" t="str">
        <f aca="false">MID(A9,11,4)</f>
        <v>3549</v>
      </c>
      <c r="E9" s="0" t="s">
        <v>24</v>
      </c>
      <c r="F9" s="0" t="s">
        <v>10</v>
      </c>
      <c r="G9" s="0" t="str">
        <f aca="false">MID(A9,8,1)</f>
        <v>4</v>
      </c>
      <c r="H9" s="0" t="n">
        <v>1</v>
      </c>
    </row>
    <row r="10" customFormat="false" ht="15" hidden="false" customHeight="true" outlineLevel="0" collapsed="false">
      <c r="A10" s="0" t="s">
        <v>25</v>
      </c>
      <c r="B10" s="0" t="n">
        <v>1</v>
      </c>
      <c r="C10" s="0" t="str">
        <f aca="false">MID(A10,4,3)</f>
        <v>CHE</v>
      </c>
      <c r="D10" s="0" t="str">
        <f aca="false">MID(A10,11,4)</f>
        <v>3549</v>
      </c>
      <c r="E10" s="0" t="s">
        <v>26</v>
      </c>
      <c r="F10" s="0" t="s">
        <v>10</v>
      </c>
      <c r="G10" s="0" t="str">
        <f aca="false">MID(A10,8,1)</f>
        <v>4</v>
      </c>
      <c r="H10" s="0" t="n">
        <v>1</v>
      </c>
    </row>
    <row r="11" customFormat="false" ht="15" hidden="false" customHeight="true" outlineLevel="0" collapsed="false">
      <c r="A11" s="0" t="s">
        <v>27</v>
      </c>
      <c r="B11" s="0" t="n">
        <v>1</v>
      </c>
      <c r="C11" s="0" t="str">
        <f aca="false">MID(A11,4,3)</f>
        <v>CHE</v>
      </c>
      <c r="D11" s="0" t="str">
        <f aca="false">MID(A11,11,4)</f>
        <v>3549</v>
      </c>
      <c r="E11" s="0" t="s">
        <v>28</v>
      </c>
      <c r="F11" s="0" t="s">
        <v>10</v>
      </c>
      <c r="G11" s="0" t="str">
        <f aca="false">MID(A11,8,1)</f>
        <v>4</v>
      </c>
      <c r="H11" s="0" t="n">
        <v>1</v>
      </c>
    </row>
    <row r="12" customFormat="false" ht="15" hidden="false" customHeight="true" outlineLevel="0" collapsed="false">
      <c r="A12" s="0" t="s">
        <v>29</v>
      </c>
      <c r="B12" s="0" t="n">
        <v>1</v>
      </c>
      <c r="C12" s="0" t="str">
        <f aca="false">MID(A12,4,3)</f>
        <v>CHE</v>
      </c>
      <c r="D12" s="0" t="str">
        <f aca="false">MID(A12,11,4)</f>
        <v>3549</v>
      </c>
      <c r="E12" s="0" t="s">
        <v>30</v>
      </c>
      <c r="F12" s="0" t="s">
        <v>10</v>
      </c>
      <c r="G12" s="0" t="str">
        <f aca="false">MID(A12,8,1)</f>
        <v>4</v>
      </c>
      <c r="H12" s="0" t="n">
        <v>1</v>
      </c>
    </row>
    <row r="13" customFormat="false" ht="15" hidden="false" customHeight="true" outlineLevel="0" collapsed="false">
      <c r="A13" s="0" t="s">
        <v>31</v>
      </c>
      <c r="B13" s="0" t="n">
        <v>1</v>
      </c>
      <c r="C13" s="0" t="str">
        <f aca="false">MID(A13,4,3)</f>
        <v>CHE</v>
      </c>
      <c r="D13" s="0" t="str">
        <f aca="false">MID(A13,11,4)</f>
        <v>3549</v>
      </c>
      <c r="E13" s="0" t="s">
        <v>32</v>
      </c>
      <c r="F13" s="0" t="s">
        <v>10</v>
      </c>
      <c r="G13" s="0" t="str">
        <f aca="false">MID(A13,8,1)</f>
        <v>4</v>
      </c>
      <c r="H13" s="0" t="n">
        <v>1</v>
      </c>
    </row>
    <row r="14" customFormat="false" ht="15" hidden="false" customHeight="true" outlineLevel="0" collapsed="false">
      <c r="A14" s="0" t="s">
        <v>33</v>
      </c>
      <c r="B14" s="0" t="n">
        <v>1</v>
      </c>
      <c r="C14" s="0" t="str">
        <f aca="false">MID(A14,4,3)</f>
        <v>CHE</v>
      </c>
      <c r="D14" s="0" t="str">
        <f aca="false">MID(A14,11,4)</f>
        <v>3549</v>
      </c>
      <c r="E14" s="0" t="s">
        <v>34</v>
      </c>
      <c r="F14" s="0" t="s">
        <v>10</v>
      </c>
      <c r="G14" s="0" t="str">
        <f aca="false">MID(A14,8,1)</f>
        <v>4</v>
      </c>
      <c r="H14" s="0" t="n">
        <v>1</v>
      </c>
    </row>
    <row r="15" customFormat="false" ht="15" hidden="false" customHeight="true" outlineLevel="0" collapsed="false">
      <c r="A15" s="0" t="s">
        <v>35</v>
      </c>
      <c r="B15" s="0" t="n">
        <v>1</v>
      </c>
      <c r="C15" s="0" t="str">
        <f aca="false">MID(A15,4,3)</f>
        <v>CHE</v>
      </c>
      <c r="D15" s="0" t="str">
        <f aca="false">MID(A15,11,4)</f>
        <v>3549</v>
      </c>
      <c r="E15" s="0" t="s">
        <v>36</v>
      </c>
      <c r="F15" s="0" t="s">
        <v>10</v>
      </c>
      <c r="G15" s="0" t="str">
        <f aca="false">MID(A15,8,1)</f>
        <v>4</v>
      </c>
      <c r="H15" s="0" t="n">
        <v>1</v>
      </c>
    </row>
    <row r="16" customFormat="false" ht="15" hidden="false" customHeight="true" outlineLevel="0" collapsed="false">
      <c r="A16" s="0" t="s">
        <v>37</v>
      </c>
      <c r="B16" s="0" t="n">
        <v>1</v>
      </c>
      <c r="C16" s="0" t="str">
        <f aca="false">MID(A16,4,3)</f>
        <v>CUM</v>
      </c>
      <c r="D16" s="0" t="str">
        <f aca="false">MID(A16,11,4)</f>
        <v>0812</v>
      </c>
      <c r="E16" s="0" t="s">
        <v>38</v>
      </c>
      <c r="F16" s="0" t="s">
        <v>10</v>
      </c>
      <c r="G16" s="0" t="str">
        <f aca="false">MID(A16,8,1)</f>
        <v>4</v>
      </c>
      <c r="H16" s="0" t="n">
        <v>1</v>
      </c>
    </row>
    <row r="17" customFormat="false" ht="15" hidden="false" customHeight="true" outlineLevel="0" collapsed="false">
      <c r="A17" s="0" t="s">
        <v>39</v>
      </c>
      <c r="B17" s="0" t="n">
        <v>1</v>
      </c>
      <c r="C17" s="0" t="str">
        <f aca="false">MID(A17,4,3)</f>
        <v>CUM</v>
      </c>
      <c r="D17" s="0" t="str">
        <f aca="false">MID(A17,11,4)</f>
        <v>0812</v>
      </c>
      <c r="E17" s="0" t="s">
        <v>40</v>
      </c>
      <c r="F17" s="0" t="s">
        <v>10</v>
      </c>
      <c r="G17" s="0" t="str">
        <f aca="false">MID(A17,8,1)</f>
        <v>4</v>
      </c>
      <c r="H17" s="0" t="n">
        <v>1</v>
      </c>
    </row>
    <row r="18" customFormat="false" ht="15" hidden="false" customHeight="true" outlineLevel="0" collapsed="false">
      <c r="A18" s="0" t="s">
        <v>41</v>
      </c>
      <c r="B18" s="0" t="n">
        <v>1</v>
      </c>
      <c r="C18" s="0" t="str">
        <f aca="false">MID(A18,4,3)</f>
        <v>DAE</v>
      </c>
      <c r="D18" s="0" t="str">
        <f aca="false">MID(A18,11,4)</f>
        <v>1401</v>
      </c>
      <c r="E18" s="0" t="s">
        <v>42</v>
      </c>
      <c r="F18" s="0" t="s">
        <v>10</v>
      </c>
      <c r="G18" s="0" t="str">
        <f aca="false">MID(A18,8,1)</f>
        <v>3</v>
      </c>
      <c r="H18" s="0" t="n">
        <v>1</v>
      </c>
    </row>
    <row r="19" customFormat="false" ht="15" hidden="false" customHeight="true" outlineLevel="0" collapsed="false">
      <c r="A19" s="0" t="s">
        <v>43</v>
      </c>
      <c r="B19" s="0" t="n">
        <v>1</v>
      </c>
      <c r="C19" s="0" t="str">
        <f aca="false">MID(A19,4,3)</f>
        <v>DAE</v>
      </c>
      <c r="D19" s="0" t="str">
        <f aca="false">MID(A19,11,4)</f>
        <v>1401</v>
      </c>
      <c r="E19" s="0" t="s">
        <v>44</v>
      </c>
      <c r="F19" s="0" t="s">
        <v>10</v>
      </c>
      <c r="G19" s="0" t="str">
        <f aca="false">MID(A19,8,1)</f>
        <v>3</v>
      </c>
      <c r="H19" s="0" t="n">
        <v>1</v>
      </c>
    </row>
    <row r="20" customFormat="false" ht="15" hidden="false" customHeight="true" outlineLevel="0" collapsed="false">
      <c r="A20" s="0" t="s">
        <v>45</v>
      </c>
      <c r="B20" s="0" t="n">
        <v>1</v>
      </c>
      <c r="C20" s="0" t="str">
        <f aca="false">MID(A20,4,3)</f>
        <v>DAE</v>
      </c>
      <c r="D20" s="0" t="str">
        <f aca="false">MID(A20,11,4)</f>
        <v>1401</v>
      </c>
      <c r="E20" s="0" t="s">
        <v>46</v>
      </c>
      <c r="F20" s="0" t="s">
        <v>10</v>
      </c>
      <c r="G20" s="0" t="str">
        <f aca="false">MID(A20,8,1)</f>
        <v>3</v>
      </c>
      <c r="H20" s="0" t="n">
        <v>1</v>
      </c>
    </row>
    <row r="21" customFormat="false" ht="15" hidden="false" customHeight="true" outlineLevel="0" collapsed="false">
      <c r="A21" s="0" t="s">
        <v>47</v>
      </c>
      <c r="B21" s="0" t="n">
        <v>1</v>
      </c>
      <c r="C21" s="0" t="str">
        <f aca="false">MID(A21,4,3)</f>
        <v>DAE</v>
      </c>
      <c r="D21" s="0" t="str">
        <f aca="false">MID(A21,11,4)</f>
        <v>1401</v>
      </c>
      <c r="E21" s="0" t="s">
        <v>48</v>
      </c>
      <c r="F21" s="0" t="s">
        <v>10</v>
      </c>
      <c r="G21" s="0" t="str">
        <f aca="false">MID(A21,8,1)</f>
        <v>3</v>
      </c>
      <c r="H21" s="0" t="n">
        <v>1</v>
      </c>
    </row>
    <row r="22" customFormat="false" ht="15" hidden="false" customHeight="true" outlineLevel="0" collapsed="false">
      <c r="A22" s="0" t="s">
        <v>49</v>
      </c>
      <c r="B22" s="0" t="n">
        <v>1</v>
      </c>
      <c r="C22" s="0" t="str">
        <f aca="false">MID(A22,4,3)</f>
        <v>DAE</v>
      </c>
      <c r="D22" s="0" t="str">
        <f aca="false">MID(A22,11,4)</f>
        <v>1401</v>
      </c>
      <c r="E22" s="0" t="s">
        <v>50</v>
      </c>
      <c r="F22" s="0" t="s">
        <v>10</v>
      </c>
      <c r="G22" s="0" t="str">
        <f aca="false">MID(A22,8,1)</f>
        <v>3</v>
      </c>
      <c r="H22" s="0" t="n">
        <v>1</v>
      </c>
    </row>
    <row r="23" customFormat="false" ht="15" hidden="false" customHeight="true" outlineLevel="0" collapsed="false">
      <c r="A23" s="0" t="s">
        <v>51</v>
      </c>
      <c r="B23" s="0" t="n">
        <v>1</v>
      </c>
      <c r="C23" s="0" t="str">
        <f aca="false">MID(A23,4,3)</f>
        <v>DAE</v>
      </c>
      <c r="D23" s="0" t="str">
        <f aca="false">MID(A23,11,4)</f>
        <v>1401</v>
      </c>
      <c r="E23" s="0" t="s">
        <v>52</v>
      </c>
      <c r="F23" s="0" t="s">
        <v>10</v>
      </c>
      <c r="G23" s="0" t="str">
        <f aca="false">MID(A23,8,1)</f>
        <v>3</v>
      </c>
      <c r="H23" s="0" t="n">
        <v>1</v>
      </c>
    </row>
    <row r="24" customFormat="false" ht="15" hidden="false" customHeight="true" outlineLevel="0" collapsed="false">
      <c r="A24" s="0" t="s">
        <v>53</v>
      </c>
      <c r="B24" s="0" t="n">
        <v>1</v>
      </c>
      <c r="C24" s="0" t="str">
        <f aca="false">MID(A24,4,3)</f>
        <v>DAE</v>
      </c>
      <c r="D24" s="0" t="str">
        <f aca="false">MID(A24,11,4)</f>
        <v>1401</v>
      </c>
      <c r="E24" s="0" t="s">
        <v>54</v>
      </c>
      <c r="F24" s="0" t="s">
        <v>10</v>
      </c>
      <c r="G24" s="0" t="str">
        <f aca="false">MID(A24,8,1)</f>
        <v>3</v>
      </c>
      <c r="H24" s="0" t="n">
        <v>1</v>
      </c>
    </row>
    <row r="25" customFormat="false" ht="15" hidden="false" customHeight="true" outlineLevel="0" collapsed="false">
      <c r="A25" s="0" t="s">
        <v>55</v>
      </c>
      <c r="B25" s="0" t="n">
        <v>1</v>
      </c>
      <c r="C25" s="0" t="str">
        <f aca="false">MID(A25,4,3)</f>
        <v>DAE</v>
      </c>
      <c r="D25" s="0" t="str">
        <f aca="false">MID(A25,11,4)</f>
        <v>1401</v>
      </c>
      <c r="E25" s="0" t="s">
        <v>56</v>
      </c>
      <c r="F25" s="0" t="s">
        <v>10</v>
      </c>
      <c r="G25" s="0" t="str">
        <f aca="false">MID(A25,8,1)</f>
        <v>3</v>
      </c>
      <c r="H25" s="0" t="n">
        <v>1</v>
      </c>
    </row>
    <row r="26" customFormat="false" ht="15" hidden="false" customHeight="true" outlineLevel="0" collapsed="false">
      <c r="A26" s="0" t="s">
        <v>57</v>
      </c>
      <c r="B26" s="0" t="n">
        <v>1</v>
      </c>
      <c r="C26" s="0" t="str">
        <f aca="false">MID(A26,4,3)</f>
        <v>DAE</v>
      </c>
      <c r="D26" s="0" t="str">
        <f aca="false">MID(A26,11,4)</f>
        <v>1401</v>
      </c>
      <c r="E26" s="0" t="s">
        <v>58</v>
      </c>
      <c r="F26" s="0" t="s">
        <v>10</v>
      </c>
      <c r="G26" s="0" t="str">
        <f aca="false">MID(A26,8,1)</f>
        <v>3</v>
      </c>
      <c r="H26" s="0" t="n">
        <v>1</v>
      </c>
    </row>
    <row r="27" customFormat="false" ht="15" hidden="false" customHeight="true" outlineLevel="0" collapsed="false">
      <c r="A27" s="0" t="s">
        <v>59</v>
      </c>
      <c r="B27" s="0" t="n">
        <v>1</v>
      </c>
      <c r="C27" s="0" t="str">
        <f aca="false">MID(A27,4,3)</f>
        <v>DAE</v>
      </c>
      <c r="D27" s="0" t="str">
        <f aca="false">MID(A27,11,4)</f>
        <v>1401</v>
      </c>
      <c r="E27" s="0" t="s">
        <v>60</v>
      </c>
      <c r="F27" s="0" t="s">
        <v>10</v>
      </c>
      <c r="G27" s="0" t="str">
        <f aca="false">MID(A27,8,1)</f>
        <v>3</v>
      </c>
      <c r="H27" s="0" t="n">
        <v>1</v>
      </c>
    </row>
    <row r="28" customFormat="false" ht="15" hidden="false" customHeight="true" outlineLevel="0" collapsed="false">
      <c r="A28" s="0" t="s">
        <v>61</v>
      </c>
      <c r="B28" s="0" t="n">
        <v>1</v>
      </c>
      <c r="C28" s="0" t="str">
        <f aca="false">MID(A28,4,3)</f>
        <v>DAE</v>
      </c>
      <c r="D28" s="0" t="str">
        <f aca="false">MID(A28,11,4)</f>
        <v>1402</v>
      </c>
      <c r="E28" s="0" t="s">
        <v>62</v>
      </c>
      <c r="F28" s="0" t="s">
        <v>10</v>
      </c>
      <c r="G28" s="0" t="str">
        <f aca="false">MID(A28,8,1)</f>
        <v>3</v>
      </c>
      <c r="H28" s="0" t="n">
        <v>1</v>
      </c>
    </row>
    <row r="29" customFormat="false" ht="15" hidden="false" customHeight="true" outlineLevel="0" collapsed="false">
      <c r="A29" s="0" t="s">
        <v>63</v>
      </c>
      <c r="B29" s="0" t="n">
        <v>1</v>
      </c>
      <c r="C29" s="0" t="str">
        <f aca="false">MID(A29,4,3)</f>
        <v>DAE</v>
      </c>
      <c r="D29" s="0" t="str">
        <f aca="false">MID(A29,11,4)</f>
        <v>1402</v>
      </c>
      <c r="E29" s="0" t="s">
        <v>62</v>
      </c>
      <c r="F29" s="0" t="s">
        <v>10</v>
      </c>
      <c r="G29" s="0" t="str">
        <f aca="false">MID(A29,8,1)</f>
        <v>4</v>
      </c>
      <c r="H29" s="0" t="n">
        <v>1</v>
      </c>
    </row>
    <row r="30" customFormat="false" ht="15" hidden="false" customHeight="true" outlineLevel="0" collapsed="false">
      <c r="A30" s="0" t="s">
        <v>64</v>
      </c>
      <c r="B30" s="0" t="n">
        <v>1</v>
      </c>
      <c r="C30" s="0" t="str">
        <f aca="false">MID(A30,4,3)</f>
        <v>DAE</v>
      </c>
      <c r="D30" s="0" t="str">
        <f aca="false">MID(A30,11,4)</f>
        <v>1402</v>
      </c>
      <c r="E30" s="0" t="s">
        <v>65</v>
      </c>
      <c r="F30" s="0" t="s">
        <v>10</v>
      </c>
      <c r="G30" s="0" t="str">
        <f aca="false">MID(A30,8,1)</f>
        <v>4</v>
      </c>
      <c r="H30" s="0" t="n">
        <v>1</v>
      </c>
    </row>
    <row r="31" customFormat="false" ht="15" hidden="false" customHeight="true" outlineLevel="0" collapsed="false">
      <c r="A31" s="0" t="s">
        <v>66</v>
      </c>
      <c r="B31" s="0" t="n">
        <v>1</v>
      </c>
      <c r="C31" s="0" t="str">
        <f aca="false">MID(A31,4,3)</f>
        <v>DAE</v>
      </c>
      <c r="D31" s="0" t="str">
        <f aca="false">MID(A31,11,4)</f>
        <v>1402</v>
      </c>
      <c r="E31" s="0" t="s">
        <v>67</v>
      </c>
      <c r="F31" s="0" t="s">
        <v>10</v>
      </c>
      <c r="G31" s="0" t="str">
        <f aca="false">MID(A31,8,1)</f>
        <v>4</v>
      </c>
      <c r="H31" s="0" t="n">
        <v>1</v>
      </c>
    </row>
    <row r="32" customFormat="false" ht="15" hidden="false" customHeight="true" outlineLevel="0" collapsed="false">
      <c r="A32" s="0" t="s">
        <v>68</v>
      </c>
      <c r="B32" s="0" t="n">
        <v>1</v>
      </c>
      <c r="C32" s="0" t="str">
        <f aca="false">MID(A32,4,3)</f>
        <v>DAE</v>
      </c>
      <c r="D32" s="0" t="str">
        <f aca="false">MID(A32,11,4)</f>
        <v>1402</v>
      </c>
      <c r="E32" s="0" t="s">
        <v>69</v>
      </c>
      <c r="F32" s="0" t="s">
        <v>10</v>
      </c>
      <c r="G32" s="0" t="str">
        <f aca="false">MID(A32,8,1)</f>
        <v>3</v>
      </c>
      <c r="H32" s="0" t="n">
        <v>1</v>
      </c>
    </row>
    <row r="33" customFormat="false" ht="15" hidden="false" customHeight="true" outlineLevel="0" collapsed="false">
      <c r="A33" s="0" t="s">
        <v>70</v>
      </c>
      <c r="B33" s="0" t="n">
        <v>1</v>
      </c>
      <c r="C33" s="0" t="str">
        <f aca="false">MID(A33,4,3)</f>
        <v>DAE</v>
      </c>
      <c r="D33" s="0" t="str">
        <f aca="false">MID(A33,11,4)</f>
        <v>1402</v>
      </c>
      <c r="E33" s="0" t="s">
        <v>69</v>
      </c>
      <c r="F33" s="0" t="s">
        <v>10</v>
      </c>
      <c r="G33" s="0" t="str">
        <f aca="false">MID(A33,8,1)</f>
        <v>4</v>
      </c>
      <c r="H33" s="0" t="n">
        <v>1</v>
      </c>
    </row>
    <row r="34" customFormat="false" ht="15" hidden="false" customHeight="true" outlineLevel="0" collapsed="false">
      <c r="A34" s="0" t="s">
        <v>71</v>
      </c>
      <c r="B34" s="0" t="n">
        <v>1</v>
      </c>
      <c r="C34" s="0" t="str">
        <f aca="false">MID(A34,4,3)</f>
        <v>DAE</v>
      </c>
      <c r="D34" s="0" t="str">
        <f aca="false">MID(A34,11,4)</f>
        <v>1402</v>
      </c>
      <c r="E34" s="0" t="s">
        <v>72</v>
      </c>
      <c r="F34" s="0" t="s">
        <v>10</v>
      </c>
      <c r="G34" s="0" t="str">
        <f aca="false">MID(A34,8,1)</f>
        <v>3</v>
      </c>
      <c r="H34" s="0" t="n">
        <v>1</v>
      </c>
    </row>
    <row r="35" customFormat="false" ht="15" hidden="false" customHeight="true" outlineLevel="0" collapsed="false">
      <c r="A35" s="0" t="s">
        <v>73</v>
      </c>
      <c r="B35" s="0" t="n">
        <v>1</v>
      </c>
      <c r="C35" s="0" t="str">
        <f aca="false">MID(A35,4,3)</f>
        <v>DAE</v>
      </c>
      <c r="D35" s="0" t="str">
        <f aca="false">MID(A35,11,4)</f>
        <v>1402</v>
      </c>
      <c r="E35" s="0" t="s">
        <v>72</v>
      </c>
      <c r="F35" s="0" t="s">
        <v>10</v>
      </c>
      <c r="G35" s="0" t="str">
        <f aca="false">MID(A35,8,1)</f>
        <v>4</v>
      </c>
      <c r="H35" s="0" t="n">
        <v>1</v>
      </c>
    </row>
    <row r="36" customFormat="false" ht="15" hidden="false" customHeight="true" outlineLevel="0" collapsed="false">
      <c r="A36" s="0" t="s">
        <v>74</v>
      </c>
      <c r="B36" s="0" t="n">
        <v>1</v>
      </c>
      <c r="C36" s="0" t="str">
        <f aca="false">MID(A36,4,3)</f>
        <v>DAE</v>
      </c>
      <c r="D36" s="0" t="str">
        <f aca="false">MID(A36,11,4)</f>
        <v>1402</v>
      </c>
      <c r="E36" s="0" t="s">
        <v>75</v>
      </c>
      <c r="F36" s="0" t="s">
        <v>10</v>
      </c>
      <c r="G36" s="0" t="str">
        <f aca="false">MID(A36,8,1)</f>
        <v>3</v>
      </c>
      <c r="H36" s="0" t="n">
        <v>1</v>
      </c>
    </row>
    <row r="37" customFormat="false" ht="15" hidden="false" customHeight="true" outlineLevel="0" collapsed="false">
      <c r="A37" s="0" t="s">
        <v>76</v>
      </c>
      <c r="B37" s="0" t="n">
        <v>1</v>
      </c>
      <c r="C37" s="0" t="str">
        <f aca="false">MID(A37,4,3)</f>
        <v>DAE</v>
      </c>
      <c r="D37" s="0" t="str">
        <f aca="false">MID(A37,11,4)</f>
        <v>1402</v>
      </c>
      <c r="E37" s="0" t="s">
        <v>75</v>
      </c>
      <c r="F37" s="0" t="s">
        <v>10</v>
      </c>
      <c r="G37" s="0" t="str">
        <f aca="false">MID(A37,8,1)</f>
        <v>4</v>
      </c>
      <c r="H37" s="0" t="n">
        <v>1</v>
      </c>
    </row>
    <row r="38" customFormat="false" ht="15" hidden="false" customHeight="true" outlineLevel="0" collapsed="false">
      <c r="A38" s="0" t="s">
        <v>77</v>
      </c>
      <c r="B38" s="0" t="n">
        <v>1</v>
      </c>
      <c r="C38" s="0" t="str">
        <f aca="false">MID(A38,4,3)</f>
        <v>DAE</v>
      </c>
      <c r="D38" s="0" t="str">
        <f aca="false">MID(A38,11,4)</f>
        <v>1402</v>
      </c>
      <c r="E38" s="0" t="s">
        <v>78</v>
      </c>
      <c r="F38" s="0" t="s">
        <v>10</v>
      </c>
      <c r="G38" s="0" t="str">
        <f aca="false">MID(A38,8,1)</f>
        <v>3</v>
      </c>
      <c r="H38" s="0" t="n">
        <v>1</v>
      </c>
    </row>
    <row r="39" customFormat="false" ht="15" hidden="false" customHeight="true" outlineLevel="0" collapsed="false">
      <c r="A39" s="0" t="s">
        <v>79</v>
      </c>
      <c r="B39" s="0" t="n">
        <v>1</v>
      </c>
      <c r="C39" s="0" t="str">
        <f aca="false">MID(A39,4,3)</f>
        <v>DAE</v>
      </c>
      <c r="D39" s="0" t="str">
        <f aca="false">MID(A39,11,4)</f>
        <v>1402</v>
      </c>
      <c r="E39" s="0" t="s">
        <v>78</v>
      </c>
      <c r="F39" s="0" t="s">
        <v>10</v>
      </c>
      <c r="G39" s="0" t="str">
        <f aca="false">MID(A39,8,1)</f>
        <v>4</v>
      </c>
      <c r="H39" s="0" t="n">
        <v>1</v>
      </c>
    </row>
    <row r="40" customFormat="false" ht="15" hidden="false" customHeight="true" outlineLevel="0" collapsed="false">
      <c r="A40" s="0" t="s">
        <v>80</v>
      </c>
      <c r="B40" s="0" t="n">
        <v>1</v>
      </c>
      <c r="C40" s="0" t="str">
        <f aca="false">MID(A40,4,3)</f>
        <v>DAE</v>
      </c>
      <c r="D40" s="0" t="str">
        <f aca="false">MID(A40,11,4)</f>
        <v>1402</v>
      </c>
      <c r="E40" s="0" t="s">
        <v>81</v>
      </c>
      <c r="F40" s="0" t="s">
        <v>10</v>
      </c>
      <c r="G40" s="0" t="str">
        <f aca="false">MID(A40,8,1)</f>
        <v>3</v>
      </c>
      <c r="H40" s="0" t="n">
        <v>1</v>
      </c>
    </row>
    <row r="41" customFormat="false" ht="15" hidden="false" customHeight="true" outlineLevel="0" collapsed="false">
      <c r="A41" s="0" t="s">
        <v>82</v>
      </c>
      <c r="B41" s="0" t="n">
        <v>1</v>
      </c>
      <c r="C41" s="0" t="str">
        <f aca="false">MID(A41,4,3)</f>
        <v>DAE</v>
      </c>
      <c r="D41" s="0" t="str">
        <f aca="false">MID(A41,11,4)</f>
        <v>1402</v>
      </c>
      <c r="E41" s="0" t="s">
        <v>81</v>
      </c>
      <c r="F41" s="0" t="s">
        <v>10</v>
      </c>
      <c r="G41" s="0" t="str">
        <f aca="false">MID(A41,8,1)</f>
        <v>4</v>
      </c>
      <c r="H41" s="0" t="n">
        <v>1</v>
      </c>
    </row>
    <row r="42" customFormat="false" ht="15" hidden="false" customHeight="true" outlineLevel="0" collapsed="false">
      <c r="A42" s="0" t="s">
        <v>83</v>
      </c>
      <c r="B42" s="0" t="n">
        <v>1</v>
      </c>
      <c r="C42" s="0" t="str">
        <f aca="false">MID(A42,4,3)</f>
        <v>DAE</v>
      </c>
      <c r="D42" s="0" t="str">
        <f aca="false">MID(A42,11,4)</f>
        <v>3538</v>
      </c>
      <c r="E42" s="0" t="s">
        <v>84</v>
      </c>
      <c r="F42" s="0" t="s">
        <v>10</v>
      </c>
      <c r="G42" s="0" t="str">
        <f aca="false">MID(A42,8,1)</f>
        <v>4</v>
      </c>
      <c r="H42" s="0" t="n">
        <v>1</v>
      </c>
    </row>
    <row r="43" customFormat="false" ht="15" hidden="false" customHeight="true" outlineLevel="0" collapsed="false">
      <c r="A43" s="0" t="s">
        <v>85</v>
      </c>
      <c r="B43" s="0" t="n">
        <v>1</v>
      </c>
      <c r="C43" s="0" t="str">
        <f aca="false">MID(A43,4,3)</f>
        <v>DAE</v>
      </c>
      <c r="D43" s="0" t="str">
        <f aca="false">MID(A43,11,4)</f>
        <v>3538</v>
      </c>
      <c r="E43" s="0" t="s">
        <v>86</v>
      </c>
      <c r="F43" s="0" t="s">
        <v>10</v>
      </c>
      <c r="G43" s="0" t="str">
        <f aca="false">MID(A43,8,1)</f>
        <v>4</v>
      </c>
      <c r="H43" s="0" t="n">
        <v>1</v>
      </c>
    </row>
    <row r="44" customFormat="false" ht="15" hidden="false" customHeight="true" outlineLevel="0" collapsed="false">
      <c r="A44" s="0" t="s">
        <v>87</v>
      </c>
      <c r="B44" s="0" t="n">
        <v>1</v>
      </c>
      <c r="C44" s="0" t="str">
        <f aca="false">MID(A44,4,3)</f>
        <v>DAE</v>
      </c>
      <c r="D44" s="0" t="str">
        <f aca="false">MID(A44,11,4)</f>
        <v>3538</v>
      </c>
      <c r="E44" s="0" t="s">
        <v>88</v>
      </c>
      <c r="F44" s="0" t="s">
        <v>10</v>
      </c>
      <c r="G44" s="0" t="str">
        <f aca="false">MID(A44,8,1)</f>
        <v>4</v>
      </c>
      <c r="H44" s="0" t="n">
        <v>1</v>
      </c>
    </row>
    <row r="45" customFormat="false" ht="15" hidden="false" customHeight="true" outlineLevel="0" collapsed="false">
      <c r="A45" s="0" t="s">
        <v>89</v>
      </c>
      <c r="B45" s="0" t="n">
        <v>1</v>
      </c>
      <c r="C45" s="0" t="str">
        <f aca="false">MID(A45,4,3)</f>
        <v>DAE</v>
      </c>
      <c r="D45" s="0" t="str">
        <f aca="false">MID(A45,11,4)</f>
        <v>3538</v>
      </c>
      <c r="E45" s="0" t="s">
        <v>90</v>
      </c>
      <c r="F45" s="0" t="s">
        <v>10</v>
      </c>
      <c r="G45" s="0" t="str">
        <f aca="false">MID(A45,8,1)</f>
        <v>4</v>
      </c>
      <c r="H45" s="0" t="n">
        <v>1</v>
      </c>
    </row>
    <row r="46" customFormat="false" ht="15" hidden="false" customHeight="true" outlineLevel="0" collapsed="false">
      <c r="A46" s="0" t="s">
        <v>91</v>
      </c>
      <c r="B46" s="0" t="n">
        <v>1</v>
      </c>
      <c r="C46" s="0" t="str">
        <f aca="false">MID(A46,4,3)</f>
        <v>DAE</v>
      </c>
      <c r="D46" s="0" t="str">
        <f aca="false">MID(A46,11,4)</f>
        <v>3538</v>
      </c>
      <c r="E46" s="0" t="s">
        <v>92</v>
      </c>
      <c r="F46" s="0" t="s">
        <v>10</v>
      </c>
      <c r="G46" s="0" t="str">
        <f aca="false">MID(A46,8,1)</f>
        <v>4</v>
      </c>
      <c r="H46" s="0" t="n">
        <v>1</v>
      </c>
    </row>
    <row r="47" customFormat="false" ht="15" hidden="false" customHeight="true" outlineLevel="0" collapsed="false">
      <c r="A47" s="0" t="s">
        <v>93</v>
      </c>
      <c r="B47" s="0" t="n">
        <v>1</v>
      </c>
      <c r="C47" s="0" t="str">
        <f aca="false">MID(A47,4,3)</f>
        <v>DAE</v>
      </c>
      <c r="D47" s="0" t="str">
        <f aca="false">MID(A47,11,4)</f>
        <v>3538</v>
      </c>
      <c r="E47" s="0" t="s">
        <v>94</v>
      </c>
      <c r="F47" s="0" t="s">
        <v>10</v>
      </c>
      <c r="G47" s="0" t="str">
        <f aca="false">MID(A47,8,1)</f>
        <v>4</v>
      </c>
      <c r="H47" s="0" t="n">
        <v>1</v>
      </c>
    </row>
    <row r="48" customFormat="false" ht="15" hidden="false" customHeight="true" outlineLevel="0" collapsed="false">
      <c r="A48" s="0" t="s">
        <v>95</v>
      </c>
      <c r="B48" s="0" t="n">
        <v>1</v>
      </c>
      <c r="C48" s="0" t="str">
        <f aca="false">MID(A48,4,3)</f>
        <v>DAE</v>
      </c>
      <c r="D48" s="0" t="str">
        <f aca="false">MID(A48,11,4)</f>
        <v>3538</v>
      </c>
      <c r="E48" s="0" t="s">
        <v>96</v>
      </c>
      <c r="F48" s="0" t="s">
        <v>10</v>
      </c>
      <c r="G48" s="0" t="str">
        <f aca="false">MID(A48,8,1)</f>
        <v>4</v>
      </c>
      <c r="H48" s="0" t="n">
        <v>1</v>
      </c>
    </row>
    <row r="49" customFormat="false" ht="15" hidden="false" customHeight="true" outlineLevel="0" collapsed="false">
      <c r="A49" s="0" t="s">
        <v>97</v>
      </c>
      <c r="B49" s="0" t="n">
        <v>1</v>
      </c>
      <c r="C49" s="0" t="str">
        <f aca="false">MID(A49,4,3)</f>
        <v>DAE</v>
      </c>
      <c r="D49" s="0" t="str">
        <f aca="false">MID(A49,11,4)</f>
        <v>3538</v>
      </c>
      <c r="E49" s="0" t="s">
        <v>98</v>
      </c>
      <c r="F49" s="0" t="s">
        <v>10</v>
      </c>
      <c r="G49" s="0" t="str">
        <f aca="false">MID(A49,8,1)</f>
        <v>4</v>
      </c>
      <c r="H49" s="0" t="n">
        <v>1</v>
      </c>
    </row>
    <row r="50" customFormat="false" ht="15" hidden="false" customHeight="true" outlineLevel="0" collapsed="false">
      <c r="A50" s="0" t="s">
        <v>99</v>
      </c>
      <c r="B50" s="0" t="n">
        <v>1</v>
      </c>
      <c r="C50" s="0" t="str">
        <f aca="false">MID(A50,4,3)</f>
        <v>DAE</v>
      </c>
      <c r="D50" s="0" t="str">
        <f aca="false">MID(A50,11,4)</f>
        <v>3548</v>
      </c>
      <c r="E50" s="0" t="s">
        <v>100</v>
      </c>
      <c r="F50" s="0" t="s">
        <v>10</v>
      </c>
      <c r="G50" s="0" t="str">
        <f aca="false">MID(A50,8,1)</f>
        <v>4</v>
      </c>
      <c r="H50" s="0" t="n">
        <v>1</v>
      </c>
    </row>
    <row r="51" customFormat="false" ht="15" hidden="false" customHeight="true" outlineLevel="0" collapsed="false">
      <c r="A51" s="0" t="s">
        <v>101</v>
      </c>
      <c r="B51" s="0" t="n">
        <v>1</v>
      </c>
      <c r="C51" s="0" t="str">
        <f aca="false">MID(A51,4,3)</f>
        <v>DAE</v>
      </c>
      <c r="D51" s="0" t="str">
        <f aca="false">MID(A51,11,4)</f>
        <v>3548</v>
      </c>
      <c r="E51" s="0" t="s">
        <v>102</v>
      </c>
      <c r="F51" s="0" t="s">
        <v>10</v>
      </c>
      <c r="G51" s="0" t="str">
        <f aca="false">MID(A51,8,1)</f>
        <v>4</v>
      </c>
      <c r="H51" s="0" t="n">
        <v>1</v>
      </c>
    </row>
    <row r="52" customFormat="false" ht="15" hidden="false" customHeight="true" outlineLevel="0" collapsed="false">
      <c r="A52" s="0" t="s">
        <v>103</v>
      </c>
      <c r="B52" s="0" t="n">
        <v>1</v>
      </c>
      <c r="C52" s="0" t="str">
        <f aca="false">MID(A52,4,3)</f>
        <v>DAE</v>
      </c>
      <c r="D52" s="0" t="str">
        <f aca="false">MID(A52,11,4)</f>
        <v>3548</v>
      </c>
      <c r="E52" s="0" t="s">
        <v>104</v>
      </c>
      <c r="F52" s="0" t="s">
        <v>10</v>
      </c>
      <c r="G52" s="0" t="str">
        <f aca="false">MID(A52,8,1)</f>
        <v>4</v>
      </c>
      <c r="H52" s="0" t="n">
        <v>1</v>
      </c>
    </row>
    <row r="53" customFormat="false" ht="15" hidden="false" customHeight="true" outlineLevel="0" collapsed="false">
      <c r="A53" s="0" t="s">
        <v>105</v>
      </c>
      <c r="B53" s="0" t="n">
        <v>1</v>
      </c>
      <c r="C53" s="0" t="str">
        <f aca="false">MID(A53,4,3)</f>
        <v>DAE</v>
      </c>
      <c r="D53" s="0" t="str">
        <f aca="false">MID(A53,11,4)</f>
        <v>3548</v>
      </c>
      <c r="E53" s="0" t="s">
        <v>106</v>
      </c>
      <c r="F53" s="0" t="s">
        <v>10</v>
      </c>
      <c r="G53" s="0" t="str">
        <f aca="false">MID(A53,8,1)</f>
        <v>4</v>
      </c>
      <c r="H53" s="0" t="n">
        <v>1</v>
      </c>
    </row>
    <row r="54" customFormat="false" ht="15" hidden="false" customHeight="true" outlineLevel="0" collapsed="false">
      <c r="A54" s="0" t="s">
        <v>107</v>
      </c>
      <c r="B54" s="0" t="n">
        <v>1</v>
      </c>
      <c r="C54" s="0" t="str">
        <f aca="false">MID(A54,4,3)</f>
        <v>DAE</v>
      </c>
      <c r="D54" s="0" t="str">
        <f aca="false">MID(A54,11,4)</f>
        <v>3548</v>
      </c>
      <c r="E54" s="0" t="s">
        <v>108</v>
      </c>
      <c r="F54" s="0" t="s">
        <v>10</v>
      </c>
      <c r="G54" s="0" t="str">
        <f aca="false">MID(A54,8,1)</f>
        <v>4</v>
      </c>
      <c r="H54" s="0" t="n">
        <v>1</v>
      </c>
    </row>
    <row r="55" customFormat="false" ht="15" hidden="false" customHeight="true" outlineLevel="0" collapsed="false">
      <c r="A55" s="0" t="s">
        <v>109</v>
      </c>
      <c r="B55" s="0" t="n">
        <v>1</v>
      </c>
      <c r="C55" s="0" t="str">
        <f aca="false">MID(A55,4,3)</f>
        <v>DAE</v>
      </c>
      <c r="D55" s="0" t="str">
        <f aca="false">MID(A55,11,4)</f>
        <v>3548</v>
      </c>
      <c r="E55" s="0" t="s">
        <v>110</v>
      </c>
      <c r="F55" s="0" t="s">
        <v>10</v>
      </c>
      <c r="G55" s="0" t="str">
        <f aca="false">MID(A55,8,1)</f>
        <v>4</v>
      </c>
      <c r="H55" s="0" t="n">
        <v>1</v>
      </c>
    </row>
    <row r="56" customFormat="false" ht="15" hidden="false" customHeight="true" outlineLevel="0" collapsed="false">
      <c r="A56" s="0" t="s">
        <v>111</v>
      </c>
      <c r="B56" s="0" t="n">
        <v>1</v>
      </c>
      <c r="C56" s="0" t="str">
        <f aca="false">MID(A56,4,3)</f>
        <v>DAE</v>
      </c>
      <c r="D56" s="0" t="str">
        <f aca="false">MID(A56,11,4)</f>
        <v>3548</v>
      </c>
      <c r="E56" s="0" t="s">
        <v>112</v>
      </c>
      <c r="F56" s="0" t="s">
        <v>10</v>
      </c>
      <c r="G56" s="0" t="str">
        <f aca="false">MID(A56,8,1)</f>
        <v>4</v>
      </c>
      <c r="H56" s="0" t="n">
        <v>1</v>
      </c>
    </row>
    <row r="57" customFormat="false" ht="15" hidden="false" customHeight="true" outlineLevel="0" collapsed="false">
      <c r="A57" s="0" t="s">
        <v>113</v>
      </c>
      <c r="B57" s="0" t="n">
        <v>1</v>
      </c>
      <c r="C57" s="0" t="str">
        <f aca="false">MID(A57,4,3)</f>
        <v>DAE</v>
      </c>
      <c r="D57" s="0" t="str">
        <f aca="false">MID(A57,11,4)</f>
        <v>3548</v>
      </c>
      <c r="E57" s="0" t="s">
        <v>114</v>
      </c>
      <c r="F57" s="0" t="s">
        <v>10</v>
      </c>
      <c r="G57" s="0" t="str">
        <f aca="false">MID(A57,8,1)</f>
        <v>4</v>
      </c>
      <c r="H57" s="0" t="n">
        <v>1</v>
      </c>
    </row>
    <row r="58" customFormat="false" ht="15" hidden="false" customHeight="true" outlineLevel="0" collapsed="false">
      <c r="A58" s="0" t="s">
        <v>115</v>
      </c>
      <c r="B58" s="0" t="n">
        <v>1</v>
      </c>
      <c r="C58" s="0" t="str">
        <f aca="false">MID(A58,4,3)</f>
        <v>DAE</v>
      </c>
      <c r="D58" s="0" t="str">
        <f aca="false">MID(A58,11,4)</f>
        <v>3548</v>
      </c>
      <c r="E58" s="0" t="s">
        <v>116</v>
      </c>
      <c r="F58" s="0" t="s">
        <v>10</v>
      </c>
      <c r="G58" s="0" t="str">
        <f aca="false">MID(A58,8,1)</f>
        <v>4</v>
      </c>
      <c r="H58" s="0" t="n">
        <v>1</v>
      </c>
    </row>
    <row r="59" customFormat="false" ht="15" hidden="false" customHeight="true" outlineLevel="0" collapsed="false">
      <c r="A59" s="0" t="s">
        <v>117</v>
      </c>
      <c r="B59" s="0" t="n">
        <v>1</v>
      </c>
      <c r="C59" s="0" t="str">
        <f aca="false">MID(A59,4,3)</f>
        <v>DAE</v>
      </c>
      <c r="D59" s="0" t="str">
        <f aca="false">MID(A59,11,4)</f>
        <v>3548</v>
      </c>
      <c r="E59" s="0" t="s">
        <v>118</v>
      </c>
      <c r="F59" s="0" t="s">
        <v>10</v>
      </c>
      <c r="G59" s="0" t="str">
        <f aca="false">MID(A59,8,1)</f>
        <v>4</v>
      </c>
      <c r="H59" s="0" t="n">
        <v>1</v>
      </c>
    </row>
    <row r="60" customFormat="false" ht="15" hidden="false" customHeight="true" outlineLevel="0" collapsed="false">
      <c r="A60" s="0" t="s">
        <v>119</v>
      </c>
      <c r="B60" s="0" t="n">
        <v>1</v>
      </c>
      <c r="C60" s="0" t="str">
        <f aca="false">MID(A60,4,3)</f>
        <v>KAM</v>
      </c>
      <c r="D60" s="0" t="str">
        <f aca="false">MID(A60,11,4)</f>
        <v>4802</v>
      </c>
      <c r="E60" s="0" t="s">
        <v>120</v>
      </c>
      <c r="F60" s="0" t="s">
        <v>10</v>
      </c>
      <c r="G60" s="0" t="str">
        <f aca="false">MID(A60,8,1)</f>
        <v>1</v>
      </c>
      <c r="H60" s="0" t="n">
        <v>1</v>
      </c>
    </row>
    <row r="61" customFormat="false" ht="15" hidden="false" customHeight="true" outlineLevel="0" collapsed="false">
      <c r="A61" s="0" t="s">
        <v>121</v>
      </c>
      <c r="B61" s="0" t="n">
        <v>1</v>
      </c>
      <c r="C61" s="0" t="str">
        <f aca="false">MID(A61,4,3)</f>
        <v>KAM</v>
      </c>
      <c r="D61" s="0" t="str">
        <f aca="false">MID(A61,11,4)</f>
        <v>4802</v>
      </c>
      <c r="E61" s="0" t="s">
        <v>120</v>
      </c>
      <c r="F61" s="0" t="s">
        <v>10</v>
      </c>
      <c r="G61" s="0" t="str">
        <f aca="false">MID(A61,8,1)</f>
        <v>8</v>
      </c>
      <c r="H61" s="0" t="n">
        <v>1</v>
      </c>
    </row>
    <row r="62" customFormat="false" ht="15" hidden="false" customHeight="true" outlineLevel="0" collapsed="false">
      <c r="A62" s="0" t="s">
        <v>122</v>
      </c>
      <c r="B62" s="0" t="n">
        <v>1</v>
      </c>
      <c r="C62" s="0" t="str">
        <f aca="false">MID(A62,4,3)</f>
        <v>KAM</v>
      </c>
      <c r="D62" s="0" t="str">
        <f aca="false">MID(A62,11,4)</f>
        <v>4805</v>
      </c>
      <c r="E62" s="0" t="s">
        <v>123</v>
      </c>
      <c r="F62" s="0" t="s">
        <v>10</v>
      </c>
      <c r="G62" s="0" t="str">
        <f aca="false">MID(A62,8,1)</f>
        <v>8</v>
      </c>
      <c r="H62" s="0" t="n">
        <v>1</v>
      </c>
    </row>
    <row r="63" customFormat="false" ht="15" hidden="false" customHeight="true" outlineLevel="0" collapsed="false">
      <c r="A63" s="0" t="s">
        <v>124</v>
      </c>
      <c r="B63" s="0" t="n">
        <v>1</v>
      </c>
      <c r="C63" s="0" t="str">
        <f aca="false">MID(A63,4,3)</f>
        <v>KAM</v>
      </c>
      <c r="D63" s="0" t="str">
        <f aca="false">MID(A63,11,4)</f>
        <v>4806</v>
      </c>
      <c r="E63" s="0" t="s">
        <v>125</v>
      </c>
      <c r="F63" s="0" t="s">
        <v>10</v>
      </c>
      <c r="G63" s="0" t="str">
        <f aca="false">MID(A63,8,1)</f>
        <v>1</v>
      </c>
      <c r="H63" s="0" t="n">
        <v>1</v>
      </c>
    </row>
    <row r="64" customFormat="false" ht="15" hidden="false" customHeight="true" outlineLevel="0" collapsed="false">
      <c r="A64" s="0" t="s">
        <v>126</v>
      </c>
      <c r="B64" s="0" t="n">
        <v>1</v>
      </c>
      <c r="C64" s="0" t="str">
        <f aca="false">MID(A64,4,3)</f>
        <v>KAM</v>
      </c>
      <c r="D64" s="0" t="str">
        <f aca="false">MID(A64,11,4)</f>
        <v>4806</v>
      </c>
      <c r="E64" s="0" t="s">
        <v>125</v>
      </c>
      <c r="F64" s="0" t="s">
        <v>10</v>
      </c>
      <c r="G64" s="0" t="str">
        <f aca="false">MID(A64,8,1)</f>
        <v>8</v>
      </c>
      <c r="H64" s="0" t="n">
        <v>1</v>
      </c>
    </row>
    <row r="65" customFormat="false" ht="15" hidden="false" customHeight="true" outlineLevel="0" collapsed="false">
      <c r="A65" s="0" t="s">
        <v>127</v>
      </c>
      <c r="B65" s="0" t="n">
        <v>1</v>
      </c>
      <c r="C65" s="0" t="str">
        <f aca="false">MID(A65,4,3)</f>
        <v>KAM</v>
      </c>
      <c r="D65" s="0" t="str">
        <f aca="false">MID(A65,11,4)</f>
        <v>4806</v>
      </c>
      <c r="E65" s="0" t="s">
        <v>128</v>
      </c>
      <c r="F65" s="0" t="s">
        <v>10</v>
      </c>
      <c r="G65" s="0" t="str">
        <f aca="false">MID(A65,8,1)</f>
        <v>8</v>
      </c>
      <c r="H65" s="0" t="n">
        <v>1</v>
      </c>
    </row>
    <row r="66" customFormat="false" ht="15" hidden="false" customHeight="true" outlineLevel="0" collapsed="false">
      <c r="A66" s="0" t="s">
        <v>129</v>
      </c>
      <c r="B66" s="0" t="n">
        <v>1</v>
      </c>
      <c r="C66" s="0" t="str">
        <f aca="false">MID(A66,4,3)</f>
        <v>LAD</v>
      </c>
      <c r="D66" s="0" t="str">
        <f aca="false">MID(A66,11,4)</f>
        <v>2802</v>
      </c>
      <c r="E66" s="0" t="s">
        <v>130</v>
      </c>
      <c r="F66" s="0" t="s">
        <v>10</v>
      </c>
      <c r="G66" s="0" t="str">
        <f aca="false">MID(A66,8,1)</f>
        <v>4</v>
      </c>
      <c r="H66" s="0" t="n">
        <v>1</v>
      </c>
    </row>
    <row r="67" customFormat="false" ht="15" hidden="false" customHeight="true" outlineLevel="0" collapsed="false">
      <c r="A67" s="0" t="s">
        <v>131</v>
      </c>
      <c r="B67" s="0" t="n">
        <v>1</v>
      </c>
      <c r="C67" s="0" t="str">
        <f aca="false">MID(A67,4,3)</f>
        <v>LAD</v>
      </c>
      <c r="D67" s="0" t="str">
        <f aca="false">MID(A67,11,4)</f>
        <v>2802</v>
      </c>
      <c r="E67" s="0" t="s">
        <v>132</v>
      </c>
      <c r="F67" s="0" t="s">
        <v>10</v>
      </c>
      <c r="G67" s="0" t="str">
        <f aca="false">MID(A67,8,1)</f>
        <v>4</v>
      </c>
      <c r="H67" s="0" t="n">
        <v>1</v>
      </c>
    </row>
    <row r="68" customFormat="false" ht="15" hidden="false" customHeight="true" outlineLevel="0" collapsed="false">
      <c r="A68" s="0" t="s">
        <v>133</v>
      </c>
      <c r="B68" s="0" t="n">
        <v>1</v>
      </c>
      <c r="C68" s="0" t="str">
        <f aca="false">MID(A68,4,3)</f>
        <v>LAD</v>
      </c>
      <c r="D68" s="0" t="str">
        <f aca="false">MID(A68,11,4)</f>
        <v>2802</v>
      </c>
      <c r="E68" s="0" t="s">
        <v>134</v>
      </c>
      <c r="F68" s="0" t="s">
        <v>10</v>
      </c>
      <c r="G68" s="0" t="str">
        <f aca="false">MID(A68,8,1)</f>
        <v>4</v>
      </c>
      <c r="H68" s="0" t="n">
        <v>1</v>
      </c>
    </row>
    <row r="69" customFormat="false" ht="15" hidden="false" customHeight="true" outlineLevel="0" collapsed="false">
      <c r="A69" s="0" t="s">
        <v>135</v>
      </c>
      <c r="B69" s="0" t="n">
        <v>1</v>
      </c>
      <c r="C69" s="0" t="str">
        <f aca="false">MID(A69,4,3)</f>
        <v>LAD</v>
      </c>
      <c r="D69" s="0" t="str">
        <f aca="false">MID(A69,11,4)</f>
        <v>2802</v>
      </c>
      <c r="E69" s="0" t="s">
        <v>136</v>
      </c>
      <c r="F69" s="0" t="s">
        <v>10</v>
      </c>
      <c r="G69" s="0" t="str">
        <f aca="false">MID(A69,8,1)</f>
        <v>4</v>
      </c>
      <c r="H69" s="0" t="n">
        <v>1</v>
      </c>
    </row>
    <row r="70" customFormat="false" ht="15" hidden="false" customHeight="true" outlineLevel="0" collapsed="false">
      <c r="A70" s="0" t="s">
        <v>137</v>
      </c>
      <c r="B70" s="0" t="n">
        <v>1</v>
      </c>
      <c r="C70" s="0" t="str">
        <f aca="false">MID(A70,4,3)</f>
        <v>LAD</v>
      </c>
      <c r="D70" s="0" t="str">
        <f aca="false">MID(A70,11,4)</f>
        <v>2802</v>
      </c>
      <c r="E70" s="0" t="s">
        <v>138</v>
      </c>
      <c r="F70" s="0" t="s">
        <v>10</v>
      </c>
      <c r="G70" s="0" t="str">
        <f aca="false">MID(A70,8,1)</f>
        <v>4</v>
      </c>
      <c r="H70" s="0" t="n">
        <v>1</v>
      </c>
    </row>
    <row r="71" customFormat="false" ht="15" hidden="false" customHeight="true" outlineLevel="0" collapsed="false">
      <c r="A71" s="0" t="s">
        <v>139</v>
      </c>
      <c r="B71" s="0" t="n">
        <v>1</v>
      </c>
      <c r="C71" s="0" t="str">
        <f aca="false">MID(A71,4,3)</f>
        <v>LAD</v>
      </c>
      <c r="D71" s="0" t="str">
        <f aca="false">MID(A71,11,4)</f>
        <v>2802</v>
      </c>
      <c r="E71" s="0" t="s">
        <v>140</v>
      </c>
      <c r="F71" s="0" t="s">
        <v>10</v>
      </c>
      <c r="G71" s="0" t="str">
        <f aca="false">MID(A71,8,1)</f>
        <v>4</v>
      </c>
      <c r="H71" s="0" t="n">
        <v>1</v>
      </c>
    </row>
    <row r="72" customFormat="false" ht="15" hidden="false" customHeight="true" outlineLevel="0" collapsed="false">
      <c r="A72" s="0" t="s">
        <v>141</v>
      </c>
      <c r="B72" s="0" t="n">
        <v>1</v>
      </c>
      <c r="C72" s="0" t="str">
        <f aca="false">MID(A72,4,3)</f>
        <v>LAD</v>
      </c>
      <c r="D72" s="0" t="str">
        <f aca="false">MID(A72,11,4)</f>
        <v>2802</v>
      </c>
      <c r="E72" s="0" t="s">
        <v>142</v>
      </c>
      <c r="F72" s="0" t="s">
        <v>10</v>
      </c>
      <c r="G72" s="0" t="str">
        <f aca="false">MID(A72,8,1)</f>
        <v>4</v>
      </c>
      <c r="H72" s="0" t="n">
        <v>1</v>
      </c>
    </row>
    <row r="73" customFormat="false" ht="15" hidden="false" customHeight="true" outlineLevel="0" collapsed="false">
      <c r="A73" s="0" t="s">
        <v>143</v>
      </c>
      <c r="B73" s="0" t="n">
        <v>1</v>
      </c>
      <c r="C73" s="0" t="str">
        <f aca="false">MID(A73,4,3)</f>
        <v>LAD</v>
      </c>
      <c r="D73" s="0" t="str">
        <f aca="false">MID(A73,11,4)</f>
        <v>2802</v>
      </c>
      <c r="E73" s="0" t="s">
        <v>144</v>
      </c>
      <c r="F73" s="0" t="s">
        <v>10</v>
      </c>
      <c r="G73" s="0" t="str">
        <f aca="false">MID(A73,8,1)</f>
        <v>4</v>
      </c>
      <c r="H73" s="0" t="n">
        <v>1</v>
      </c>
    </row>
    <row r="74" customFormat="false" ht="15" hidden="false" customHeight="true" outlineLevel="0" collapsed="false">
      <c r="A74" s="0" t="s">
        <v>145</v>
      </c>
      <c r="B74" s="0" t="n">
        <v>1</v>
      </c>
      <c r="C74" s="0" t="str">
        <f aca="false">MID(A74,4,3)</f>
        <v>LAD</v>
      </c>
      <c r="D74" s="0" t="str">
        <f aca="false">MID(A74,11,4)</f>
        <v>2802</v>
      </c>
      <c r="E74" s="0" t="s">
        <v>146</v>
      </c>
      <c r="F74" s="0" t="s">
        <v>10</v>
      </c>
      <c r="G74" s="0" t="str">
        <f aca="false">MID(A74,8,1)</f>
        <v>4</v>
      </c>
      <c r="H74" s="0" t="n">
        <v>1</v>
      </c>
    </row>
    <row r="75" customFormat="false" ht="15" hidden="false" customHeight="true" outlineLevel="0" collapsed="false">
      <c r="A75" s="0" t="s">
        <v>147</v>
      </c>
      <c r="B75" s="0" t="n">
        <v>1</v>
      </c>
      <c r="C75" s="0" t="str">
        <f aca="false">MID(A75,4,3)</f>
        <v>LAD</v>
      </c>
      <c r="D75" s="0" t="str">
        <f aca="false">MID(A75,11,4)</f>
        <v>2802</v>
      </c>
      <c r="E75" s="0" t="s">
        <v>148</v>
      </c>
      <c r="F75" s="0" t="s">
        <v>10</v>
      </c>
      <c r="G75" s="0" t="str">
        <f aca="false">MID(A75,8,1)</f>
        <v>4</v>
      </c>
      <c r="H75" s="0" t="n">
        <v>1</v>
      </c>
    </row>
    <row r="76" customFormat="false" ht="15" hidden="false" customHeight="true" outlineLevel="0" collapsed="false">
      <c r="A76" s="0" t="s">
        <v>149</v>
      </c>
      <c r="B76" s="0" t="n">
        <v>1</v>
      </c>
      <c r="C76" s="0" t="str">
        <f aca="false">MID(A76,4,3)</f>
        <v>LAD</v>
      </c>
      <c r="D76" s="0" t="str">
        <f aca="false">MID(A76,11,4)</f>
        <v>2802</v>
      </c>
      <c r="E76" s="0" t="s">
        <v>150</v>
      </c>
      <c r="F76" s="0" t="s">
        <v>10</v>
      </c>
      <c r="G76" s="0" t="str">
        <f aca="false">MID(A76,8,1)</f>
        <v>4</v>
      </c>
      <c r="H76" s="0" t="n">
        <v>1</v>
      </c>
    </row>
    <row r="77" customFormat="false" ht="15" hidden="false" customHeight="true" outlineLevel="0" collapsed="false">
      <c r="A77" s="0" t="s">
        <v>151</v>
      </c>
      <c r="B77" s="0" t="n">
        <v>1</v>
      </c>
      <c r="C77" s="0" t="str">
        <f aca="false">MID(A77,4,3)</f>
        <v>LAD</v>
      </c>
      <c r="D77" s="0" t="str">
        <f aca="false">MID(A77,11,4)</f>
        <v>2802</v>
      </c>
      <c r="E77" s="0" t="s">
        <v>152</v>
      </c>
      <c r="F77" s="0" t="s">
        <v>10</v>
      </c>
      <c r="G77" s="0" t="str">
        <f aca="false">MID(A77,8,1)</f>
        <v>4</v>
      </c>
      <c r="H77" s="0" t="n">
        <v>1</v>
      </c>
    </row>
    <row r="78" customFormat="false" ht="15" hidden="false" customHeight="true" outlineLevel="0" collapsed="false">
      <c r="A78" s="0" t="s">
        <v>153</v>
      </c>
      <c r="B78" s="0" t="n">
        <v>1</v>
      </c>
      <c r="C78" s="0" t="str">
        <f aca="false">MID(A78,4,3)</f>
        <v>LAD</v>
      </c>
      <c r="D78" s="0" t="str">
        <f aca="false">MID(A78,11,4)</f>
        <v>2803</v>
      </c>
      <c r="E78" s="0" t="s">
        <v>154</v>
      </c>
      <c r="F78" s="0" t="s">
        <v>10</v>
      </c>
      <c r="G78" s="0" t="str">
        <f aca="false">MID(A78,8,1)</f>
        <v>4</v>
      </c>
      <c r="H78" s="0" t="n">
        <v>1</v>
      </c>
    </row>
    <row r="79" customFormat="false" ht="15" hidden="false" customHeight="true" outlineLevel="0" collapsed="false">
      <c r="A79" s="0" t="s">
        <v>155</v>
      </c>
      <c r="B79" s="0" t="n">
        <v>1</v>
      </c>
      <c r="C79" s="0" t="str">
        <f aca="false">MID(A79,4,3)</f>
        <v>LAD</v>
      </c>
      <c r="D79" s="0" t="str">
        <f aca="false">MID(A79,11,4)</f>
        <v>2803</v>
      </c>
      <c r="E79" s="0" t="s">
        <v>156</v>
      </c>
      <c r="F79" s="0" t="s">
        <v>10</v>
      </c>
      <c r="G79" s="0" t="str">
        <f aca="false">MID(A79,8,1)</f>
        <v>4</v>
      </c>
      <c r="H79" s="0" t="n">
        <v>1</v>
      </c>
    </row>
    <row r="80" customFormat="false" ht="15" hidden="false" customHeight="true" outlineLevel="0" collapsed="false">
      <c r="A80" s="0" t="s">
        <v>157</v>
      </c>
      <c r="B80" s="0" t="n">
        <v>1</v>
      </c>
      <c r="C80" s="0" t="str">
        <f aca="false">MID(A80,4,3)</f>
        <v>LAD</v>
      </c>
      <c r="D80" s="0" t="str">
        <f aca="false">MID(A80,11,4)</f>
        <v>2803</v>
      </c>
      <c r="E80" s="0" t="s">
        <v>158</v>
      </c>
      <c r="F80" s="0" t="s">
        <v>10</v>
      </c>
      <c r="G80" s="0" t="str">
        <f aca="false">MID(A80,8,1)</f>
        <v>4</v>
      </c>
      <c r="H80" s="0" t="n">
        <v>1</v>
      </c>
    </row>
    <row r="81" customFormat="false" ht="15" hidden="false" customHeight="true" outlineLevel="0" collapsed="false">
      <c r="A81" s="0" t="s">
        <v>159</v>
      </c>
      <c r="B81" s="0" t="n">
        <v>1</v>
      </c>
      <c r="C81" s="0" t="str">
        <f aca="false">MID(A81,4,3)</f>
        <v>LAD</v>
      </c>
      <c r="D81" s="0" t="str">
        <f aca="false">MID(A81,11,4)</f>
        <v>2803</v>
      </c>
      <c r="E81" s="0" t="s">
        <v>160</v>
      </c>
      <c r="F81" s="0" t="s">
        <v>10</v>
      </c>
      <c r="G81" s="0" t="str">
        <f aca="false">MID(A81,8,1)</f>
        <v>4</v>
      </c>
      <c r="H81" s="0" t="n">
        <v>1</v>
      </c>
    </row>
    <row r="82" customFormat="false" ht="15" hidden="false" customHeight="true" outlineLevel="0" collapsed="false">
      <c r="A82" s="0" t="s">
        <v>161</v>
      </c>
      <c r="B82" s="0" t="n">
        <v>1</v>
      </c>
      <c r="C82" s="0" t="str">
        <f aca="false">MID(A82,4,3)</f>
        <v>LAD</v>
      </c>
      <c r="D82" s="0" t="str">
        <f aca="false">MID(A82,11,4)</f>
        <v>2803</v>
      </c>
      <c r="E82" s="0" t="s">
        <v>162</v>
      </c>
      <c r="F82" s="0" t="s">
        <v>10</v>
      </c>
      <c r="G82" s="0" t="str">
        <f aca="false">MID(A82,8,1)</f>
        <v>4</v>
      </c>
      <c r="H82" s="0" t="n">
        <v>1</v>
      </c>
    </row>
    <row r="83" customFormat="false" ht="15" hidden="false" customHeight="true" outlineLevel="0" collapsed="false">
      <c r="A83" s="0" t="s">
        <v>163</v>
      </c>
      <c r="B83" s="0" t="n">
        <v>1</v>
      </c>
      <c r="C83" s="0" t="str">
        <f aca="false">MID(A83,4,3)</f>
        <v>LAD</v>
      </c>
      <c r="D83" s="0" t="str">
        <f aca="false">MID(A83,11,4)</f>
        <v>2803</v>
      </c>
      <c r="E83" s="0" t="s">
        <v>164</v>
      </c>
      <c r="F83" s="0" t="s">
        <v>10</v>
      </c>
      <c r="G83" s="0" t="str">
        <f aca="false">MID(A83,8,1)</f>
        <v>4</v>
      </c>
      <c r="H83" s="0" t="n">
        <v>1</v>
      </c>
    </row>
    <row r="84" customFormat="false" ht="15" hidden="false" customHeight="true" outlineLevel="0" collapsed="false">
      <c r="A84" s="0" t="s">
        <v>165</v>
      </c>
      <c r="B84" s="0" t="n">
        <v>1</v>
      </c>
      <c r="C84" s="0" t="str">
        <f aca="false">MID(A84,4,3)</f>
        <v>LAD</v>
      </c>
      <c r="D84" s="0" t="str">
        <f aca="false">MID(A84,11,4)</f>
        <v>2803</v>
      </c>
      <c r="E84" s="0" t="s">
        <v>166</v>
      </c>
      <c r="F84" s="0" t="s">
        <v>10</v>
      </c>
      <c r="G84" s="0" t="str">
        <f aca="false">MID(A84,8,1)</f>
        <v>4</v>
      </c>
      <c r="H84" s="0" t="n">
        <v>1</v>
      </c>
    </row>
    <row r="85" customFormat="false" ht="15" hidden="false" customHeight="true" outlineLevel="0" collapsed="false">
      <c r="A85" s="0" t="s">
        <v>167</v>
      </c>
      <c r="B85" s="0" t="n">
        <v>1</v>
      </c>
      <c r="C85" s="0" t="str">
        <f aca="false">MID(A85,4,3)</f>
        <v>LAD</v>
      </c>
      <c r="D85" s="0" t="str">
        <f aca="false">MID(A85,11,4)</f>
        <v>2803</v>
      </c>
      <c r="E85" s="0" t="s">
        <v>168</v>
      </c>
      <c r="F85" s="0" t="s">
        <v>10</v>
      </c>
      <c r="G85" s="0" t="str">
        <f aca="false">MID(A85,8,1)</f>
        <v>4</v>
      </c>
      <c r="H85" s="0" t="n">
        <v>1</v>
      </c>
    </row>
    <row r="86" customFormat="false" ht="15" hidden="false" customHeight="true" outlineLevel="0" collapsed="false">
      <c r="A86" s="0" t="s">
        <v>169</v>
      </c>
      <c r="B86" s="0" t="n">
        <v>1</v>
      </c>
      <c r="C86" s="0" t="str">
        <f aca="false">MID(A86,4,3)</f>
        <v>LAD</v>
      </c>
      <c r="D86" s="0" t="str">
        <f aca="false">MID(A86,11,4)</f>
        <v>2803</v>
      </c>
      <c r="E86" s="0" t="s">
        <v>170</v>
      </c>
      <c r="F86" s="0" t="s">
        <v>10</v>
      </c>
      <c r="G86" s="0" t="str">
        <f aca="false">MID(A86,8,1)</f>
        <v>4</v>
      </c>
      <c r="H86" s="0" t="n">
        <v>1</v>
      </c>
    </row>
    <row r="87" customFormat="false" ht="15" hidden="false" customHeight="true" outlineLevel="0" collapsed="false">
      <c r="A87" s="0" t="s">
        <v>171</v>
      </c>
      <c r="B87" s="0" t="n">
        <v>1</v>
      </c>
      <c r="C87" s="0" t="str">
        <f aca="false">MID(A87,4,3)</f>
        <v>LAD</v>
      </c>
      <c r="D87" s="0" t="str">
        <f aca="false">MID(A87,11,4)</f>
        <v>2803</v>
      </c>
      <c r="E87" s="0" t="s">
        <v>172</v>
      </c>
      <c r="F87" s="0" t="s">
        <v>10</v>
      </c>
      <c r="G87" s="0" t="str">
        <f aca="false">MID(A87,8,1)</f>
        <v>4</v>
      </c>
      <c r="H87" s="0" t="n">
        <v>1</v>
      </c>
    </row>
    <row r="88" customFormat="false" ht="15" hidden="false" customHeight="true" outlineLevel="0" collapsed="false">
      <c r="A88" s="0" t="s">
        <v>173</v>
      </c>
      <c r="B88" s="0" t="n">
        <v>1</v>
      </c>
      <c r="C88" s="0" t="str">
        <f aca="false">MID(A88,4,3)</f>
        <v>LAD</v>
      </c>
      <c r="D88" s="0" t="str">
        <f aca="false">MID(A88,11,4)</f>
        <v>2803</v>
      </c>
      <c r="E88" s="0" t="s">
        <v>174</v>
      </c>
      <c r="F88" s="0" t="s">
        <v>10</v>
      </c>
      <c r="G88" s="0" t="str">
        <f aca="false">MID(A88,8,1)</f>
        <v>4</v>
      </c>
      <c r="H88" s="0" t="n">
        <v>1</v>
      </c>
    </row>
    <row r="89" customFormat="false" ht="15" hidden="false" customHeight="true" outlineLevel="0" collapsed="false">
      <c r="A89" s="0" t="s">
        <v>175</v>
      </c>
      <c r="B89" s="0" t="n">
        <v>1</v>
      </c>
      <c r="C89" s="0" t="str">
        <f aca="false">MID(A89,4,3)</f>
        <v>LAD</v>
      </c>
      <c r="D89" s="0" t="str">
        <f aca="false">MID(A89,11,4)</f>
        <v>2803</v>
      </c>
      <c r="E89" s="0" t="s">
        <v>176</v>
      </c>
      <c r="F89" s="0" t="s">
        <v>10</v>
      </c>
      <c r="G89" s="0" t="str">
        <f aca="false">MID(A89,8,1)</f>
        <v>4</v>
      </c>
      <c r="H89" s="0" t="n">
        <v>1</v>
      </c>
    </row>
    <row r="90" customFormat="false" ht="15" hidden="false" customHeight="true" outlineLevel="0" collapsed="false">
      <c r="A90" s="0" t="s">
        <v>177</v>
      </c>
      <c r="B90" s="0" t="n">
        <v>1</v>
      </c>
      <c r="C90" s="0" t="str">
        <f aca="false">MID(A90,4,3)</f>
        <v>LAD</v>
      </c>
      <c r="D90" s="0" t="str">
        <f aca="false">MID(A90,11,4)</f>
        <v>2803</v>
      </c>
      <c r="E90" s="0" t="s">
        <v>178</v>
      </c>
      <c r="F90" s="0" t="s">
        <v>10</v>
      </c>
      <c r="G90" s="0" t="str">
        <f aca="false">MID(A90,8,1)</f>
        <v>4</v>
      </c>
      <c r="H90" s="0" t="n">
        <v>1</v>
      </c>
    </row>
    <row r="91" customFormat="false" ht="15" hidden="false" customHeight="true" outlineLevel="0" collapsed="false">
      <c r="A91" s="0" t="s">
        <v>179</v>
      </c>
      <c r="B91" s="0" t="n">
        <v>1</v>
      </c>
      <c r="C91" s="0" t="str">
        <f aca="false">MID(A91,4,3)</f>
        <v>LAD</v>
      </c>
      <c r="D91" s="0" t="str">
        <f aca="false">MID(A91,11,4)</f>
        <v>2803</v>
      </c>
      <c r="E91" s="0" t="s">
        <v>180</v>
      </c>
      <c r="F91" s="0" t="s">
        <v>10</v>
      </c>
      <c r="G91" s="0" t="str">
        <f aca="false">MID(A91,8,1)</f>
        <v>4</v>
      </c>
      <c r="H91" s="0" t="n">
        <v>1</v>
      </c>
    </row>
    <row r="92" customFormat="false" ht="15" hidden="false" customHeight="true" outlineLevel="0" collapsed="false">
      <c r="A92" s="0" t="s">
        <v>181</v>
      </c>
      <c r="B92" s="0" t="n">
        <v>1</v>
      </c>
      <c r="C92" s="0" t="str">
        <f aca="false">MID(A92,4,3)</f>
        <v>LAD</v>
      </c>
      <c r="D92" s="0" t="str">
        <f aca="false">MID(A92,11,4)</f>
        <v>2804</v>
      </c>
      <c r="E92" s="0" t="s">
        <v>182</v>
      </c>
      <c r="F92" s="0" t="s">
        <v>10</v>
      </c>
      <c r="G92" s="0" t="str">
        <f aca="false">MID(A92,8,1)</f>
        <v>4</v>
      </c>
      <c r="H92" s="0" t="n">
        <v>1</v>
      </c>
    </row>
    <row r="93" customFormat="false" ht="15" hidden="false" customHeight="true" outlineLevel="0" collapsed="false">
      <c r="A93" s="0" t="s">
        <v>183</v>
      </c>
      <c r="B93" s="0" t="n">
        <v>1</v>
      </c>
      <c r="C93" s="0" t="str">
        <f aca="false">MID(A93,4,3)</f>
        <v>LAD</v>
      </c>
      <c r="D93" s="0" t="str">
        <f aca="false">MID(A93,11,4)</f>
        <v>2804</v>
      </c>
      <c r="E93" s="0" t="s">
        <v>184</v>
      </c>
      <c r="F93" s="0" t="s">
        <v>10</v>
      </c>
      <c r="G93" s="0" t="str">
        <f aca="false">MID(A93,8,1)</f>
        <v>4</v>
      </c>
      <c r="H93" s="0" t="n">
        <v>1</v>
      </c>
    </row>
    <row r="94" customFormat="false" ht="15" hidden="false" customHeight="true" outlineLevel="0" collapsed="false">
      <c r="A94" s="0" t="s">
        <v>185</v>
      </c>
      <c r="B94" s="0" t="n">
        <v>1</v>
      </c>
      <c r="C94" s="0" t="str">
        <f aca="false">MID(A94,4,3)</f>
        <v>LAD</v>
      </c>
      <c r="D94" s="0" t="str">
        <f aca="false">MID(A94,11,4)</f>
        <v>2804</v>
      </c>
      <c r="E94" s="0" t="s">
        <v>186</v>
      </c>
      <c r="F94" s="0" t="s">
        <v>10</v>
      </c>
      <c r="G94" s="0" t="str">
        <f aca="false">MID(A94,8,1)</f>
        <v>4</v>
      </c>
      <c r="H94" s="0" t="n">
        <v>1</v>
      </c>
    </row>
    <row r="95" customFormat="false" ht="15" hidden="false" customHeight="true" outlineLevel="0" collapsed="false">
      <c r="A95" s="0" t="s">
        <v>187</v>
      </c>
      <c r="B95" s="0" t="n">
        <v>1</v>
      </c>
      <c r="C95" s="0" t="str">
        <f aca="false">MID(A95,4,3)</f>
        <v>LAD</v>
      </c>
      <c r="D95" s="0" t="str">
        <f aca="false">MID(A95,11,4)</f>
        <v>2804</v>
      </c>
      <c r="E95" s="0" t="s">
        <v>188</v>
      </c>
      <c r="F95" s="0" t="s">
        <v>10</v>
      </c>
      <c r="G95" s="0" t="str">
        <f aca="false">MID(A95,8,1)</f>
        <v>4</v>
      </c>
      <c r="H95" s="0" t="n">
        <v>1</v>
      </c>
    </row>
    <row r="96" customFormat="false" ht="15" hidden="false" customHeight="true" outlineLevel="0" collapsed="false">
      <c r="A96" s="0" t="s">
        <v>189</v>
      </c>
      <c r="B96" s="0" t="n">
        <v>1</v>
      </c>
      <c r="C96" s="0" t="str">
        <f aca="false">MID(A96,4,3)</f>
        <v>LAD</v>
      </c>
      <c r="D96" s="0" t="str">
        <f aca="false">MID(A96,11,4)</f>
        <v>2804</v>
      </c>
      <c r="E96" s="0" t="s">
        <v>190</v>
      </c>
      <c r="F96" s="0" t="s">
        <v>10</v>
      </c>
      <c r="G96" s="0" t="str">
        <f aca="false">MID(A96,8,1)</f>
        <v>4</v>
      </c>
      <c r="H96" s="0" t="n">
        <v>1</v>
      </c>
    </row>
    <row r="97" customFormat="false" ht="15" hidden="false" customHeight="true" outlineLevel="0" collapsed="false">
      <c r="A97" s="0" t="s">
        <v>191</v>
      </c>
      <c r="B97" s="0" t="n">
        <v>1</v>
      </c>
      <c r="C97" s="0" t="str">
        <f aca="false">MID(A97,4,3)</f>
        <v>LAD</v>
      </c>
      <c r="D97" s="0" t="str">
        <f aca="false">MID(A97,11,4)</f>
        <v>2804</v>
      </c>
      <c r="E97" s="0" t="s">
        <v>192</v>
      </c>
      <c r="F97" s="0" t="s">
        <v>10</v>
      </c>
      <c r="G97" s="0" t="str">
        <f aca="false">MID(A97,8,1)</f>
        <v>4</v>
      </c>
      <c r="H97" s="0" t="n">
        <v>1</v>
      </c>
    </row>
    <row r="98" customFormat="false" ht="15" hidden="false" customHeight="true" outlineLevel="0" collapsed="false">
      <c r="A98" s="0" t="s">
        <v>193</v>
      </c>
      <c r="B98" s="0" t="n">
        <v>1</v>
      </c>
      <c r="C98" s="0" t="str">
        <f aca="false">MID(A98,4,3)</f>
        <v>LAD</v>
      </c>
      <c r="D98" s="0" t="str">
        <f aca="false">MID(A98,11,4)</f>
        <v>2804</v>
      </c>
      <c r="E98" s="0" t="s">
        <v>194</v>
      </c>
      <c r="F98" s="0" t="s">
        <v>10</v>
      </c>
      <c r="G98" s="0" t="str">
        <f aca="false">MID(A98,8,1)</f>
        <v>4</v>
      </c>
      <c r="H98" s="0" t="n">
        <v>1</v>
      </c>
    </row>
    <row r="99" customFormat="false" ht="15" hidden="false" customHeight="true" outlineLevel="0" collapsed="false">
      <c r="A99" s="0" t="s">
        <v>195</v>
      </c>
      <c r="B99" s="0" t="n">
        <v>1</v>
      </c>
      <c r="C99" s="0" t="str">
        <f aca="false">MID(A99,4,3)</f>
        <v>LAD</v>
      </c>
      <c r="D99" s="0" t="str">
        <f aca="false">MID(A99,11,4)</f>
        <v>2804</v>
      </c>
      <c r="E99" s="0" t="s">
        <v>196</v>
      </c>
      <c r="F99" s="0" t="s">
        <v>10</v>
      </c>
      <c r="G99" s="0" t="str">
        <f aca="false">MID(A99,8,1)</f>
        <v>4</v>
      </c>
      <c r="H99" s="0" t="n">
        <v>1</v>
      </c>
    </row>
    <row r="100" customFormat="false" ht="15" hidden="false" customHeight="true" outlineLevel="0" collapsed="false">
      <c r="A100" s="0" t="s">
        <v>197</v>
      </c>
      <c r="B100" s="0" t="n">
        <v>1</v>
      </c>
      <c r="C100" s="0" t="str">
        <f aca="false">MID(A100,4,3)</f>
        <v>LAD</v>
      </c>
      <c r="D100" s="0" t="str">
        <f aca="false">MID(A100,11,4)</f>
        <v>2804</v>
      </c>
      <c r="E100" s="0" t="s">
        <v>198</v>
      </c>
      <c r="F100" s="0" t="s">
        <v>10</v>
      </c>
      <c r="G100" s="0" t="str">
        <f aca="false">MID(A100,8,1)</f>
        <v>4</v>
      </c>
      <c r="H100" s="0" t="n">
        <v>1</v>
      </c>
    </row>
    <row r="101" customFormat="false" ht="15" hidden="false" customHeight="true" outlineLevel="0" collapsed="false">
      <c r="A101" s="0" t="s">
        <v>199</v>
      </c>
      <c r="B101" s="0" t="n">
        <v>1</v>
      </c>
      <c r="C101" s="0" t="str">
        <f aca="false">MID(A101,4,3)</f>
        <v>LAD</v>
      </c>
      <c r="D101" s="0" t="str">
        <f aca="false">MID(A101,11,4)</f>
        <v>2804</v>
      </c>
      <c r="E101" s="0" t="s">
        <v>200</v>
      </c>
      <c r="F101" s="0" t="s">
        <v>10</v>
      </c>
      <c r="G101" s="0" t="str">
        <f aca="false">MID(A101,8,1)</f>
        <v>4</v>
      </c>
      <c r="H101" s="0" t="n">
        <v>1</v>
      </c>
    </row>
    <row r="102" customFormat="false" ht="15" hidden="false" customHeight="true" outlineLevel="0" collapsed="false">
      <c r="A102" s="0" t="s">
        <v>201</v>
      </c>
      <c r="B102" s="0" t="n">
        <v>1</v>
      </c>
      <c r="C102" s="0" t="str">
        <f aca="false">MID(A102,4,3)</f>
        <v>LAD</v>
      </c>
      <c r="D102" s="0" t="str">
        <f aca="false">MID(A102,11,4)</f>
        <v>2805</v>
      </c>
      <c r="E102" s="0" t="s">
        <v>202</v>
      </c>
      <c r="F102" s="0" t="s">
        <v>10</v>
      </c>
      <c r="G102" s="0" t="str">
        <f aca="false">MID(A102,8,1)</f>
        <v>4</v>
      </c>
      <c r="H102" s="0" t="n">
        <v>1</v>
      </c>
    </row>
    <row r="103" customFormat="false" ht="15" hidden="false" customHeight="true" outlineLevel="0" collapsed="false">
      <c r="A103" s="0" t="s">
        <v>203</v>
      </c>
      <c r="B103" s="0" t="n">
        <v>1</v>
      </c>
      <c r="C103" s="0" t="str">
        <f aca="false">MID(A103,4,3)</f>
        <v>LAD</v>
      </c>
      <c r="D103" s="0" t="str">
        <f aca="false">MID(A103,11,4)</f>
        <v>2805</v>
      </c>
      <c r="E103" s="0" t="s">
        <v>204</v>
      </c>
      <c r="F103" s="0" t="s">
        <v>10</v>
      </c>
      <c r="G103" s="0" t="str">
        <f aca="false">MID(A103,8,1)</f>
        <v>4</v>
      </c>
      <c r="H103" s="0" t="n">
        <v>1</v>
      </c>
    </row>
    <row r="104" customFormat="false" ht="15" hidden="false" customHeight="true" outlineLevel="0" collapsed="false">
      <c r="A104" s="0" t="s">
        <v>205</v>
      </c>
      <c r="B104" s="0" t="n">
        <v>1</v>
      </c>
      <c r="C104" s="0" t="str">
        <f aca="false">MID(A104,4,3)</f>
        <v>LAD</v>
      </c>
      <c r="D104" s="0" t="str">
        <f aca="false">MID(A104,11,4)</f>
        <v>2805</v>
      </c>
      <c r="E104" s="0" t="s">
        <v>206</v>
      </c>
      <c r="F104" s="0" t="s">
        <v>10</v>
      </c>
      <c r="G104" s="0" t="str">
        <f aca="false">MID(A104,8,1)</f>
        <v>4</v>
      </c>
      <c r="H104" s="0" t="n">
        <v>1</v>
      </c>
    </row>
    <row r="105" customFormat="false" ht="15" hidden="false" customHeight="true" outlineLevel="0" collapsed="false">
      <c r="A105" s="0" t="s">
        <v>207</v>
      </c>
      <c r="B105" s="0" t="n">
        <v>1</v>
      </c>
      <c r="C105" s="0" t="str">
        <f aca="false">MID(A105,4,3)</f>
        <v>LAD</v>
      </c>
      <c r="D105" s="0" t="str">
        <f aca="false">MID(A105,11,4)</f>
        <v>2805</v>
      </c>
      <c r="E105" s="0" t="s">
        <v>208</v>
      </c>
      <c r="F105" s="0" t="s">
        <v>10</v>
      </c>
      <c r="G105" s="0" t="str">
        <f aca="false">MID(A105,8,1)</f>
        <v>4</v>
      </c>
      <c r="H105" s="0" t="n">
        <v>1</v>
      </c>
    </row>
    <row r="106" customFormat="false" ht="15" hidden="false" customHeight="true" outlineLevel="0" collapsed="false">
      <c r="A106" s="0" t="s">
        <v>209</v>
      </c>
      <c r="B106" s="0" t="n">
        <v>1</v>
      </c>
      <c r="C106" s="0" t="str">
        <f aca="false">MID(A106,4,3)</f>
        <v>LAD</v>
      </c>
      <c r="D106" s="0" t="str">
        <f aca="false">MID(A106,11,4)</f>
        <v>2805</v>
      </c>
      <c r="E106" s="0" t="s">
        <v>210</v>
      </c>
      <c r="F106" s="0" t="s">
        <v>10</v>
      </c>
      <c r="G106" s="0" t="str">
        <f aca="false">MID(A106,8,1)</f>
        <v>4</v>
      </c>
      <c r="H106" s="0" t="n">
        <v>1</v>
      </c>
    </row>
    <row r="107" customFormat="false" ht="15" hidden="false" customHeight="true" outlineLevel="0" collapsed="false">
      <c r="A107" s="0" t="s">
        <v>211</v>
      </c>
      <c r="B107" s="0" t="n">
        <v>1</v>
      </c>
      <c r="C107" s="0" t="str">
        <f aca="false">MID(A107,4,3)</f>
        <v>LAD</v>
      </c>
      <c r="D107" s="0" t="str">
        <f aca="false">MID(A107,11,4)</f>
        <v>2805</v>
      </c>
      <c r="E107" s="0" t="s">
        <v>212</v>
      </c>
      <c r="F107" s="0" t="s">
        <v>10</v>
      </c>
      <c r="G107" s="0" t="str">
        <f aca="false">MID(A107,8,1)</f>
        <v>4</v>
      </c>
      <c r="H107" s="0" t="n">
        <v>1</v>
      </c>
    </row>
    <row r="108" customFormat="false" ht="15" hidden="false" customHeight="true" outlineLevel="0" collapsed="false">
      <c r="A108" s="0" t="s">
        <v>213</v>
      </c>
      <c r="B108" s="0" t="n">
        <v>1</v>
      </c>
      <c r="C108" s="0" t="str">
        <f aca="false">MID(A108,4,3)</f>
        <v>LAD</v>
      </c>
      <c r="D108" s="0" t="str">
        <f aca="false">MID(A108,11,4)</f>
        <v>2805</v>
      </c>
      <c r="E108" s="0" t="s">
        <v>214</v>
      </c>
      <c r="F108" s="0" t="s">
        <v>10</v>
      </c>
      <c r="G108" s="0" t="str">
        <f aca="false">MID(A108,8,1)</f>
        <v>4</v>
      </c>
      <c r="H108" s="0" t="n">
        <v>1</v>
      </c>
    </row>
    <row r="109" customFormat="false" ht="15" hidden="false" customHeight="true" outlineLevel="0" collapsed="false">
      <c r="A109" s="0" t="s">
        <v>215</v>
      </c>
      <c r="B109" s="0" t="n">
        <v>1</v>
      </c>
      <c r="C109" s="0" t="str">
        <f aca="false">MID(A109,4,3)</f>
        <v>LAD</v>
      </c>
      <c r="D109" s="0" t="str">
        <f aca="false">MID(A109,11,4)</f>
        <v>2805</v>
      </c>
      <c r="E109" s="0" t="s">
        <v>216</v>
      </c>
      <c r="F109" s="0" t="s">
        <v>10</v>
      </c>
      <c r="G109" s="0" t="str">
        <f aca="false">MID(A109,8,1)</f>
        <v>4</v>
      </c>
      <c r="H109" s="0" t="n">
        <v>1</v>
      </c>
    </row>
    <row r="110" customFormat="false" ht="15" hidden="false" customHeight="true" outlineLevel="0" collapsed="false">
      <c r="A110" s="0" t="s">
        <v>217</v>
      </c>
      <c r="B110" s="0" t="n">
        <v>1</v>
      </c>
      <c r="C110" s="0" t="str">
        <f aca="false">MID(A110,4,3)</f>
        <v>LAD</v>
      </c>
      <c r="D110" s="0" t="str">
        <f aca="false">MID(A110,11,4)</f>
        <v>2805</v>
      </c>
      <c r="E110" s="0" t="s">
        <v>218</v>
      </c>
      <c r="F110" s="0" t="s">
        <v>10</v>
      </c>
      <c r="G110" s="0" t="str">
        <f aca="false">MID(A110,8,1)</f>
        <v>4</v>
      </c>
      <c r="H110" s="0" t="n">
        <v>1</v>
      </c>
    </row>
    <row r="111" customFormat="false" ht="15" hidden="false" customHeight="true" outlineLevel="0" collapsed="false">
      <c r="A111" s="0" t="s">
        <v>219</v>
      </c>
      <c r="B111" s="0" t="n">
        <v>1</v>
      </c>
      <c r="C111" s="0" t="str">
        <f aca="false">MID(A111,4,3)</f>
        <v>LAD</v>
      </c>
      <c r="D111" s="0" t="str">
        <f aca="false">MID(A111,11,4)</f>
        <v>2805</v>
      </c>
      <c r="E111" s="0" t="s">
        <v>220</v>
      </c>
      <c r="F111" s="0" t="s">
        <v>10</v>
      </c>
      <c r="G111" s="0" t="str">
        <f aca="false">MID(A111,8,1)</f>
        <v>4</v>
      </c>
      <c r="H111" s="0" t="n">
        <v>1</v>
      </c>
    </row>
    <row r="112" customFormat="false" ht="15" hidden="false" customHeight="true" outlineLevel="0" collapsed="false">
      <c r="A112" s="0" t="s">
        <v>221</v>
      </c>
      <c r="B112" s="0" t="n">
        <v>1</v>
      </c>
      <c r="C112" s="0" t="str">
        <f aca="false">MID(A112,4,3)</f>
        <v>LAD</v>
      </c>
      <c r="D112" s="0" t="str">
        <f aca="false">MID(A112,11,4)</f>
        <v>2805</v>
      </c>
      <c r="E112" s="0" t="s">
        <v>222</v>
      </c>
      <c r="F112" s="0" t="s">
        <v>10</v>
      </c>
      <c r="G112" s="0" t="str">
        <f aca="false">MID(A112,8,1)</f>
        <v>4</v>
      </c>
      <c r="H112" s="0" t="n">
        <v>1</v>
      </c>
    </row>
    <row r="113" customFormat="false" ht="15" hidden="false" customHeight="true" outlineLevel="0" collapsed="false">
      <c r="A113" s="0" t="s">
        <v>223</v>
      </c>
      <c r="B113" s="0" t="n">
        <v>1</v>
      </c>
      <c r="C113" s="0" t="str">
        <f aca="false">MID(A113,4,3)</f>
        <v>LAD</v>
      </c>
      <c r="D113" s="0" t="str">
        <f aca="false">MID(A113,11,4)</f>
        <v>2805</v>
      </c>
      <c r="E113" s="0" t="s">
        <v>224</v>
      </c>
      <c r="F113" s="0" t="s">
        <v>10</v>
      </c>
      <c r="G113" s="0" t="str">
        <f aca="false">MID(A113,8,1)</f>
        <v>4</v>
      </c>
      <c r="H113" s="0" t="n">
        <v>1</v>
      </c>
    </row>
    <row r="114" customFormat="false" ht="15" hidden="false" customHeight="true" outlineLevel="0" collapsed="false">
      <c r="A114" s="0" t="s">
        <v>225</v>
      </c>
      <c r="B114" s="0" t="n">
        <v>1</v>
      </c>
      <c r="C114" s="0" t="str">
        <f aca="false">MID(A114,4,3)</f>
        <v>LAD</v>
      </c>
      <c r="D114" s="0" t="str">
        <f aca="false">MID(A114,11,4)</f>
        <v>2806</v>
      </c>
      <c r="E114" s="0" t="s">
        <v>226</v>
      </c>
      <c r="F114" s="0" t="s">
        <v>10</v>
      </c>
      <c r="G114" s="0" t="str">
        <f aca="false">MID(A114,8,1)</f>
        <v>4</v>
      </c>
      <c r="H114" s="0" t="n">
        <v>1</v>
      </c>
    </row>
    <row r="115" customFormat="false" ht="15" hidden="false" customHeight="true" outlineLevel="0" collapsed="false">
      <c r="A115" s="0" t="s">
        <v>227</v>
      </c>
      <c r="B115" s="0" t="n">
        <v>1</v>
      </c>
      <c r="C115" s="0" t="str">
        <f aca="false">MID(A115,4,3)</f>
        <v>LAD</v>
      </c>
      <c r="D115" s="0" t="str">
        <f aca="false">MID(A115,11,4)</f>
        <v>2806</v>
      </c>
      <c r="E115" s="0" t="s">
        <v>228</v>
      </c>
      <c r="F115" s="0" t="s">
        <v>10</v>
      </c>
      <c r="G115" s="0" t="str">
        <f aca="false">MID(A115,8,1)</f>
        <v>4</v>
      </c>
      <c r="H115" s="0" t="n">
        <v>1</v>
      </c>
    </row>
    <row r="116" customFormat="false" ht="15" hidden="false" customHeight="true" outlineLevel="0" collapsed="false">
      <c r="A116" s="0" t="s">
        <v>229</v>
      </c>
      <c r="B116" s="0" t="n">
        <v>1</v>
      </c>
      <c r="C116" s="0" t="str">
        <f aca="false">MID(A116,4,3)</f>
        <v>LAD</v>
      </c>
      <c r="D116" s="0" t="str">
        <f aca="false">MID(A116,11,4)</f>
        <v>2806</v>
      </c>
      <c r="E116" s="0" t="s">
        <v>230</v>
      </c>
      <c r="F116" s="0" t="s">
        <v>10</v>
      </c>
      <c r="G116" s="0" t="str">
        <f aca="false">MID(A116,8,1)</f>
        <v>4</v>
      </c>
      <c r="H116" s="0" t="n">
        <v>1</v>
      </c>
    </row>
    <row r="117" customFormat="false" ht="15" hidden="false" customHeight="true" outlineLevel="0" collapsed="false">
      <c r="A117" s="0" t="s">
        <v>231</v>
      </c>
      <c r="B117" s="0" t="n">
        <v>1</v>
      </c>
      <c r="C117" s="0" t="str">
        <f aca="false">MID(A117,4,3)</f>
        <v>LAD</v>
      </c>
      <c r="D117" s="0" t="str">
        <f aca="false">MID(A117,11,4)</f>
        <v>2806</v>
      </c>
      <c r="E117" s="0" t="s">
        <v>232</v>
      </c>
      <c r="F117" s="0" t="s">
        <v>10</v>
      </c>
      <c r="G117" s="0" t="str">
        <f aca="false">MID(A117,8,1)</f>
        <v>4</v>
      </c>
      <c r="H117" s="0" t="n">
        <v>1</v>
      </c>
    </row>
    <row r="118" customFormat="false" ht="15" hidden="false" customHeight="true" outlineLevel="0" collapsed="false">
      <c r="A118" s="0" t="s">
        <v>233</v>
      </c>
      <c r="B118" s="0" t="n">
        <v>1</v>
      </c>
      <c r="C118" s="0" t="str">
        <f aca="false">MID(A118,4,3)</f>
        <v>LAD</v>
      </c>
      <c r="D118" s="0" t="str">
        <f aca="false">MID(A118,11,4)</f>
        <v>2806</v>
      </c>
      <c r="E118" s="0" t="s">
        <v>234</v>
      </c>
      <c r="F118" s="0" t="s">
        <v>10</v>
      </c>
      <c r="G118" s="0" t="str">
        <f aca="false">MID(A118,8,1)</f>
        <v>4</v>
      </c>
      <c r="H118" s="0" t="n">
        <v>1</v>
      </c>
    </row>
    <row r="119" customFormat="false" ht="15" hidden="false" customHeight="true" outlineLevel="0" collapsed="false">
      <c r="A119" s="0" t="s">
        <v>235</v>
      </c>
      <c r="B119" s="0" t="n">
        <v>1</v>
      </c>
      <c r="C119" s="0" t="str">
        <f aca="false">MID(A119,4,3)</f>
        <v>LAD</v>
      </c>
      <c r="D119" s="0" t="str">
        <f aca="false">MID(A119,11,4)</f>
        <v>2806</v>
      </c>
      <c r="E119" s="0" t="s">
        <v>236</v>
      </c>
      <c r="F119" s="0" t="s">
        <v>10</v>
      </c>
      <c r="G119" s="0" t="str">
        <f aca="false">MID(A119,8,1)</f>
        <v>4</v>
      </c>
      <c r="H119" s="0" t="n">
        <v>1</v>
      </c>
    </row>
    <row r="120" customFormat="false" ht="15" hidden="false" customHeight="true" outlineLevel="0" collapsed="false">
      <c r="A120" s="0" t="s">
        <v>237</v>
      </c>
      <c r="B120" s="0" t="n">
        <v>1</v>
      </c>
      <c r="C120" s="0" t="str">
        <f aca="false">MID(A120,4,3)</f>
        <v>MOS</v>
      </c>
      <c r="D120" s="0" t="str">
        <f aca="false">MID(A120,11,4)</f>
        <v>4852</v>
      </c>
      <c r="E120" s="0" t="s">
        <v>238</v>
      </c>
      <c r="F120" s="0" t="s">
        <v>10</v>
      </c>
      <c r="G120" s="0" t="str">
        <f aca="false">MID(A120,8,1)</f>
        <v>4</v>
      </c>
      <c r="H120" s="0" t="n">
        <v>1</v>
      </c>
    </row>
    <row r="121" customFormat="false" ht="15" hidden="false" customHeight="true" outlineLevel="0" collapsed="false">
      <c r="A121" s="0" t="s">
        <v>239</v>
      </c>
      <c r="B121" s="0" t="n">
        <v>1</v>
      </c>
      <c r="C121" s="0" t="str">
        <f aca="false">MID(A121,4,3)</f>
        <v>MOS</v>
      </c>
      <c r="D121" s="0" t="str">
        <f aca="false">MID(A121,11,4)</f>
        <v>4852</v>
      </c>
      <c r="E121" s="0" t="s">
        <v>240</v>
      </c>
      <c r="F121" s="0" t="s">
        <v>10</v>
      </c>
      <c r="G121" s="0" t="str">
        <f aca="false">MID(A121,8,1)</f>
        <v>4</v>
      </c>
      <c r="H121" s="0" t="n">
        <v>1</v>
      </c>
    </row>
    <row r="122" customFormat="false" ht="15" hidden="false" customHeight="true" outlineLevel="0" collapsed="false">
      <c r="A122" s="0" t="s">
        <v>241</v>
      </c>
      <c r="B122" s="0" t="n">
        <v>1</v>
      </c>
      <c r="C122" s="0" t="str">
        <f aca="false">MID(A122,4,3)</f>
        <v>MOS</v>
      </c>
      <c r="D122" s="0" t="str">
        <f aca="false">MID(A122,11,4)</f>
        <v>4852</v>
      </c>
      <c r="E122" s="0" t="s">
        <v>242</v>
      </c>
      <c r="F122" s="0" t="s">
        <v>10</v>
      </c>
      <c r="G122" s="0" t="str">
        <f aca="false">MID(A122,8,1)</f>
        <v>4</v>
      </c>
      <c r="H122" s="0" t="n">
        <v>1</v>
      </c>
    </row>
    <row r="123" customFormat="false" ht="15" hidden="false" customHeight="true" outlineLevel="0" collapsed="false">
      <c r="A123" s="0" t="s">
        <v>243</v>
      </c>
      <c r="B123" s="0" t="n">
        <v>1</v>
      </c>
      <c r="C123" s="0" t="str">
        <f aca="false">MID(A123,4,3)</f>
        <v>MOS</v>
      </c>
      <c r="D123" s="0" t="str">
        <f aca="false">MID(A123,11,4)</f>
        <v>4852</v>
      </c>
      <c r="E123" s="0" t="s">
        <v>244</v>
      </c>
      <c r="F123" s="0" t="s">
        <v>10</v>
      </c>
      <c r="G123" s="0" t="str">
        <f aca="false">MID(A123,8,1)</f>
        <v>4</v>
      </c>
      <c r="H123" s="0" t="n">
        <v>1</v>
      </c>
    </row>
    <row r="124" customFormat="false" ht="15" hidden="false" customHeight="true" outlineLevel="0" collapsed="false">
      <c r="A124" s="0" t="s">
        <v>245</v>
      </c>
      <c r="B124" s="0" t="n">
        <v>1</v>
      </c>
      <c r="C124" s="0" t="str">
        <f aca="false">MID(A124,4,3)</f>
        <v>MOS</v>
      </c>
      <c r="D124" s="0" t="str">
        <f aca="false">MID(A124,11,4)</f>
        <v>4852</v>
      </c>
      <c r="E124" s="0" t="s">
        <v>246</v>
      </c>
      <c r="F124" s="0" t="s">
        <v>10</v>
      </c>
      <c r="G124" s="0" t="str">
        <f aca="false">MID(A124,8,1)</f>
        <v>4</v>
      </c>
      <c r="H124" s="0" t="n">
        <v>1</v>
      </c>
    </row>
    <row r="125" customFormat="false" ht="15" hidden="false" customHeight="true" outlineLevel="0" collapsed="false">
      <c r="A125" s="0" t="s">
        <v>247</v>
      </c>
      <c r="B125" s="0" t="n">
        <v>1</v>
      </c>
      <c r="C125" s="0" t="str">
        <f aca="false">MID(A125,4,3)</f>
        <v>MOS</v>
      </c>
      <c r="D125" s="0" t="str">
        <f aca="false">MID(A125,11,4)</f>
        <v>4852</v>
      </c>
      <c r="E125" s="0" t="s">
        <v>248</v>
      </c>
      <c r="F125" s="0" t="s">
        <v>10</v>
      </c>
      <c r="G125" s="0" t="str">
        <f aca="false">MID(A125,8,1)</f>
        <v>4</v>
      </c>
      <c r="H125" s="0" t="n">
        <v>1</v>
      </c>
    </row>
    <row r="126" customFormat="false" ht="15" hidden="false" customHeight="true" outlineLevel="0" collapsed="false">
      <c r="A126" s="0" t="s">
        <v>249</v>
      </c>
      <c r="B126" s="0" t="n">
        <v>1</v>
      </c>
      <c r="C126" s="0" t="str">
        <f aca="false">MID(A126,4,3)</f>
        <v>MOS</v>
      </c>
      <c r="D126" s="0" t="str">
        <f aca="false">MID(A126,11,4)</f>
        <v>4855</v>
      </c>
      <c r="E126" s="0" t="s">
        <v>250</v>
      </c>
      <c r="F126" s="0" t="s">
        <v>10</v>
      </c>
      <c r="G126" s="0" t="str">
        <f aca="false">MID(A126,8,1)</f>
        <v>4</v>
      </c>
      <c r="H126" s="0" t="n">
        <v>1</v>
      </c>
    </row>
    <row r="127" customFormat="false" ht="15" hidden="false" customHeight="true" outlineLevel="0" collapsed="false">
      <c r="A127" s="0" t="s">
        <v>251</v>
      </c>
      <c r="B127" s="0" t="n">
        <v>1</v>
      </c>
      <c r="C127" s="0" t="str">
        <f aca="false">MID(A127,4,3)</f>
        <v>MOS</v>
      </c>
      <c r="D127" s="0" t="str">
        <f aca="false">MID(A127,11,4)</f>
        <v>4855</v>
      </c>
      <c r="E127" s="0" t="s">
        <v>252</v>
      </c>
      <c r="F127" s="0" t="s">
        <v>10</v>
      </c>
      <c r="G127" s="0" t="str">
        <f aca="false">MID(A127,8,1)</f>
        <v>4</v>
      </c>
      <c r="H127" s="0" t="n">
        <v>1</v>
      </c>
    </row>
    <row r="128" customFormat="false" ht="15" hidden="false" customHeight="true" outlineLevel="0" collapsed="false">
      <c r="A128" s="0" t="s">
        <v>253</v>
      </c>
      <c r="B128" s="0" t="n">
        <v>1</v>
      </c>
      <c r="C128" s="0" t="str">
        <f aca="false">MID(A128,4,3)</f>
        <v>MOS</v>
      </c>
      <c r="D128" s="0" t="str">
        <f aca="false">MID(A128,11,4)</f>
        <v>4855</v>
      </c>
      <c r="E128" s="0" t="s">
        <v>254</v>
      </c>
      <c r="F128" s="0" t="s">
        <v>10</v>
      </c>
      <c r="G128" s="0" t="str">
        <f aca="false">MID(A128,8,1)</f>
        <v>4</v>
      </c>
      <c r="H128" s="0" t="n">
        <v>1</v>
      </c>
    </row>
    <row r="129" customFormat="false" ht="15" hidden="false" customHeight="true" outlineLevel="0" collapsed="false">
      <c r="A129" s="0" t="s">
        <v>255</v>
      </c>
      <c r="B129" s="0" t="n">
        <v>1</v>
      </c>
      <c r="C129" s="0" t="str">
        <f aca="false">MID(A129,4,3)</f>
        <v>MOS</v>
      </c>
      <c r="D129" s="0" t="str">
        <f aca="false">MID(A129,11,4)</f>
        <v>4855</v>
      </c>
      <c r="E129" s="0" t="s">
        <v>256</v>
      </c>
      <c r="F129" s="0" t="s">
        <v>10</v>
      </c>
      <c r="G129" s="0" t="str">
        <f aca="false">MID(A129,8,1)</f>
        <v>4</v>
      </c>
      <c r="H129" s="0" t="n">
        <v>1</v>
      </c>
    </row>
    <row r="130" customFormat="false" ht="15" hidden="false" customHeight="true" outlineLevel="0" collapsed="false">
      <c r="A130" s="0" t="s">
        <v>257</v>
      </c>
      <c r="B130" s="0" t="n">
        <v>1</v>
      </c>
      <c r="C130" s="0" t="str">
        <f aca="false">MID(A130,4,3)</f>
        <v>MTZ</v>
      </c>
      <c r="D130" s="0" t="str">
        <f aca="false">MID(A130,11,4)</f>
        <v>5950</v>
      </c>
      <c r="E130" s="0" t="s">
        <v>258</v>
      </c>
      <c r="F130" s="0" t="s">
        <v>10</v>
      </c>
      <c r="G130" s="0" t="str">
        <f aca="false">MID(A130,8,1)</f>
        <v>1</v>
      </c>
      <c r="H130" s="0" t="n">
        <v>1</v>
      </c>
    </row>
    <row r="131" customFormat="false" ht="15" hidden="false" customHeight="true" outlineLevel="0" collapsed="false">
      <c r="A131" s="0" t="s">
        <v>259</v>
      </c>
      <c r="B131" s="0" t="n">
        <v>1</v>
      </c>
      <c r="C131" s="0" t="str">
        <f aca="false">MID(A131,4,3)</f>
        <v>MTZ</v>
      </c>
      <c r="D131" s="0" t="str">
        <f aca="false">MID(A131,11,4)</f>
        <v>5950</v>
      </c>
      <c r="E131" s="0" t="s">
        <v>258</v>
      </c>
      <c r="F131" s="0" t="s">
        <v>10</v>
      </c>
      <c r="G131" s="0" t="str">
        <f aca="false">MID(A131,8,1)</f>
        <v>4</v>
      </c>
      <c r="H131" s="0" t="n">
        <v>1</v>
      </c>
    </row>
    <row r="132" customFormat="false" ht="15" hidden="false" customHeight="true" outlineLevel="0" collapsed="false">
      <c r="A132" s="0" t="s">
        <v>260</v>
      </c>
      <c r="B132" s="0" t="n">
        <v>1</v>
      </c>
      <c r="C132" s="0" t="str">
        <f aca="false">MID(A132,4,3)</f>
        <v>MTZ</v>
      </c>
      <c r="D132" s="0" t="str">
        <f aca="false">MID(A132,11,4)</f>
        <v>5950</v>
      </c>
      <c r="E132" s="0" t="s">
        <v>261</v>
      </c>
      <c r="F132" s="0" t="s">
        <v>10</v>
      </c>
      <c r="G132" s="0" t="str">
        <f aca="false">MID(A132,8,1)</f>
        <v>1</v>
      </c>
      <c r="H132" s="0" t="n">
        <v>1</v>
      </c>
    </row>
    <row r="133" customFormat="false" ht="15" hidden="false" customHeight="true" outlineLevel="0" collapsed="false">
      <c r="A133" s="0" t="s">
        <v>262</v>
      </c>
      <c r="B133" s="0" t="n">
        <v>1</v>
      </c>
      <c r="C133" s="0" t="str">
        <f aca="false">MID(A133,4,3)</f>
        <v>MTZ</v>
      </c>
      <c r="D133" s="0" t="str">
        <f aca="false">MID(A133,11,4)</f>
        <v>5950</v>
      </c>
      <c r="E133" s="0" t="s">
        <v>261</v>
      </c>
      <c r="F133" s="0" t="s">
        <v>10</v>
      </c>
      <c r="G133" s="0" t="str">
        <f aca="false">MID(A133,8,1)</f>
        <v>4</v>
      </c>
      <c r="H133" s="0" t="n">
        <v>1</v>
      </c>
    </row>
    <row r="134" customFormat="false" ht="15" hidden="false" customHeight="true" outlineLevel="0" collapsed="false">
      <c r="A134" s="0" t="s">
        <v>263</v>
      </c>
      <c r="B134" s="0" t="n">
        <v>1</v>
      </c>
      <c r="C134" s="0" t="str">
        <f aca="false">MID(A134,4,3)</f>
        <v>MTZ</v>
      </c>
      <c r="D134" s="0" t="str">
        <f aca="false">MID(A134,11,4)</f>
        <v>5951</v>
      </c>
      <c r="E134" s="0" t="s">
        <v>264</v>
      </c>
      <c r="F134" s="0" t="s">
        <v>10</v>
      </c>
      <c r="G134" s="0" t="str">
        <f aca="false">MID(A134,8,1)</f>
        <v>4</v>
      </c>
      <c r="H134" s="0" t="n">
        <v>1</v>
      </c>
    </row>
    <row r="135" customFormat="false" ht="15" hidden="false" customHeight="true" outlineLevel="0" collapsed="false">
      <c r="A135" s="0" t="s">
        <v>265</v>
      </c>
      <c r="B135" s="0" t="n">
        <v>1</v>
      </c>
      <c r="C135" s="0" t="str">
        <f aca="false">MID(A135,4,3)</f>
        <v>MTZ</v>
      </c>
      <c r="D135" s="0" t="str">
        <f aca="false">MID(A135,11,4)</f>
        <v>5951</v>
      </c>
      <c r="E135" s="0" t="s">
        <v>266</v>
      </c>
      <c r="F135" s="0" t="s">
        <v>10</v>
      </c>
      <c r="G135" s="0" t="str">
        <f aca="false">MID(A135,8,1)</f>
        <v>4</v>
      </c>
      <c r="H135" s="0" t="n">
        <v>1</v>
      </c>
    </row>
    <row r="136" customFormat="false" ht="15" hidden="false" customHeight="true" outlineLevel="0" collapsed="false">
      <c r="A136" s="1" t="s">
        <v>267</v>
      </c>
      <c r="B136" s="0" t="n">
        <v>1</v>
      </c>
      <c r="C136" s="0" t="str">
        <f aca="false">MID(A136,4,3)</f>
        <v>MTZ</v>
      </c>
      <c r="D136" s="0" t="str">
        <f aca="false">MID(A136,11,4)</f>
        <v>5952</v>
      </c>
      <c r="E136" s="1" t="s">
        <v>268</v>
      </c>
      <c r="F136" s="0" t="s">
        <v>10</v>
      </c>
      <c r="G136" s="0" t="str">
        <f aca="false">MID(A136,8,1)</f>
        <v>4</v>
      </c>
      <c r="H136" s="0" t="n">
        <v>1</v>
      </c>
    </row>
    <row r="137" customFormat="false" ht="15" hidden="false" customHeight="true" outlineLevel="0" collapsed="false">
      <c r="A137" s="1" t="s">
        <v>269</v>
      </c>
      <c r="B137" s="0" t="n">
        <v>1</v>
      </c>
      <c r="C137" s="0" t="str">
        <f aca="false">MID(A137,4,3)</f>
        <v>MTZ</v>
      </c>
      <c r="D137" s="0" t="str">
        <f aca="false">MID(A137,11,4)</f>
        <v>5953</v>
      </c>
      <c r="E137" s="1" t="s">
        <v>270</v>
      </c>
      <c r="F137" s="0" t="s">
        <v>10</v>
      </c>
      <c r="G137" s="0" t="str">
        <f aca="false">MID(A137,8,1)</f>
        <v>4</v>
      </c>
      <c r="H137" s="0" t="n">
        <v>1</v>
      </c>
    </row>
    <row r="138" customFormat="false" ht="15" hidden="false" customHeight="true" outlineLevel="0" collapsed="false">
      <c r="A138" s="0" t="s">
        <v>271</v>
      </c>
      <c r="B138" s="0" t="n">
        <v>1</v>
      </c>
      <c r="C138" s="0" t="str">
        <f aca="false">MID(A138,4,3)</f>
        <v>RAV</v>
      </c>
      <c r="D138" s="0" t="str">
        <f aca="false">MID(A138,11,4)</f>
        <v>5901</v>
      </c>
      <c r="E138" s="0" t="s">
        <v>272</v>
      </c>
      <c r="F138" s="0" t="s">
        <v>10</v>
      </c>
      <c r="G138" s="0" t="str">
        <f aca="false">MID(A138,8,1)</f>
        <v>4</v>
      </c>
      <c r="H138" s="0" t="n">
        <v>1</v>
      </c>
    </row>
    <row r="139" customFormat="false" ht="15" hidden="false" customHeight="true" outlineLevel="0" collapsed="false">
      <c r="A139" s="0" t="s">
        <v>273</v>
      </c>
      <c r="B139" s="0" t="n">
        <v>1</v>
      </c>
      <c r="C139" s="0" t="str">
        <f aca="false">MID(A139,4,3)</f>
        <v>RAV</v>
      </c>
      <c r="D139" s="0" t="str">
        <f aca="false">MID(A139,11,4)</f>
        <v>5901</v>
      </c>
      <c r="E139" s="0" t="s">
        <v>274</v>
      </c>
      <c r="F139" s="0" t="s">
        <v>10</v>
      </c>
      <c r="G139" s="0" t="str">
        <f aca="false">MID(A139,8,1)</f>
        <v>4</v>
      </c>
      <c r="H139" s="0" t="n">
        <v>1</v>
      </c>
    </row>
    <row r="140" customFormat="false" ht="15" hidden="false" customHeight="true" outlineLevel="0" collapsed="false">
      <c r="A140" s="0" t="s">
        <v>275</v>
      </c>
      <c r="B140" s="0" t="n">
        <v>1</v>
      </c>
      <c r="C140" s="0" t="str">
        <f aca="false">MID(A140,4,3)</f>
        <v>RAV</v>
      </c>
      <c r="D140" s="0" t="str">
        <f aca="false">MID(A140,11,4)</f>
        <v>5901</v>
      </c>
      <c r="E140" s="0" t="s">
        <v>276</v>
      </c>
      <c r="F140" s="0" t="s">
        <v>10</v>
      </c>
      <c r="G140" s="0" t="str">
        <f aca="false">MID(A140,8,1)</f>
        <v>4</v>
      </c>
      <c r="H140" s="0" t="n">
        <v>1</v>
      </c>
    </row>
    <row r="141" customFormat="false" ht="15" hidden="false" customHeight="true" outlineLevel="0" collapsed="false">
      <c r="A141" s="0" t="s">
        <v>277</v>
      </c>
      <c r="B141" s="0" t="n">
        <v>1</v>
      </c>
      <c r="C141" s="0" t="str">
        <f aca="false">MID(A141,4,3)</f>
        <v>RAV</v>
      </c>
      <c r="D141" s="0" t="str">
        <f aca="false">MID(A141,11,4)</f>
        <v>5901</v>
      </c>
      <c r="E141" s="0" t="s">
        <v>278</v>
      </c>
      <c r="F141" s="0" t="s">
        <v>10</v>
      </c>
      <c r="G141" s="0" t="str">
        <f aca="false">MID(A141,8,1)</f>
        <v>4</v>
      </c>
      <c r="H141" s="0" t="n">
        <v>1</v>
      </c>
    </row>
    <row r="142" customFormat="false" ht="15" hidden="false" customHeight="true" outlineLevel="0" collapsed="false">
      <c r="A142" s="0" t="s">
        <v>279</v>
      </c>
      <c r="B142" s="0" t="n">
        <v>1</v>
      </c>
      <c r="C142" s="0" t="str">
        <f aca="false">MID(A142,4,3)</f>
        <v>RAV</v>
      </c>
      <c r="D142" s="0" t="str">
        <f aca="false">MID(A142,11,4)</f>
        <v>5901</v>
      </c>
      <c r="E142" s="0" t="s">
        <v>280</v>
      </c>
      <c r="F142" s="0" t="s">
        <v>10</v>
      </c>
      <c r="G142" s="0" t="str">
        <f aca="false">MID(A142,8,1)</f>
        <v>4</v>
      </c>
      <c r="H142" s="0" t="n">
        <v>1</v>
      </c>
    </row>
    <row r="143" customFormat="false" ht="15" hidden="false" customHeight="true" outlineLevel="0" collapsed="false">
      <c r="A143" s="0" t="s">
        <v>281</v>
      </c>
      <c r="B143" s="0" t="n">
        <v>1</v>
      </c>
      <c r="C143" s="0" t="str">
        <f aca="false">MID(A143,4,3)</f>
        <v>RAV</v>
      </c>
      <c r="D143" s="0" t="str">
        <f aca="false">MID(A143,11,4)</f>
        <v>5901</v>
      </c>
      <c r="E143" s="0" t="s">
        <v>282</v>
      </c>
      <c r="F143" s="0" t="s">
        <v>10</v>
      </c>
      <c r="G143" s="0" t="str">
        <f aca="false">MID(A143,8,1)</f>
        <v>4</v>
      </c>
      <c r="H143" s="0" t="n">
        <v>1</v>
      </c>
    </row>
    <row r="144" customFormat="false" ht="15" hidden="false" customHeight="true" outlineLevel="0" collapsed="false">
      <c r="A144" s="0" t="s">
        <v>283</v>
      </c>
      <c r="B144" s="0" t="n">
        <v>1</v>
      </c>
      <c r="C144" s="0" t="str">
        <f aca="false">MID(A144,4,3)</f>
        <v>RAV</v>
      </c>
      <c r="D144" s="0" t="str">
        <f aca="false">MID(A144,11,4)</f>
        <v>5902</v>
      </c>
      <c r="E144" s="0" t="s">
        <v>284</v>
      </c>
      <c r="F144" s="0" t="s">
        <v>10</v>
      </c>
      <c r="G144" s="0" t="str">
        <f aca="false">MID(A144,8,1)</f>
        <v>4</v>
      </c>
      <c r="H144" s="0" t="n">
        <v>1</v>
      </c>
    </row>
    <row r="145" customFormat="false" ht="15" hidden="false" customHeight="true" outlineLevel="0" collapsed="false">
      <c r="A145" s="0" t="s">
        <v>285</v>
      </c>
      <c r="B145" s="0" t="n">
        <v>1</v>
      </c>
      <c r="C145" s="0" t="str">
        <f aca="false">MID(A145,4,3)</f>
        <v>RAV</v>
      </c>
      <c r="D145" s="0" t="str">
        <f aca="false">MID(A145,11,4)</f>
        <v>5902</v>
      </c>
      <c r="E145" s="0" t="s">
        <v>286</v>
      </c>
      <c r="F145" s="0" t="s">
        <v>10</v>
      </c>
      <c r="G145" s="0" t="str">
        <f aca="false">MID(A145,8,1)</f>
        <v>4</v>
      </c>
      <c r="H145" s="0" t="n">
        <v>1</v>
      </c>
    </row>
    <row r="146" customFormat="false" ht="15" hidden="false" customHeight="true" outlineLevel="0" collapsed="false">
      <c r="A146" s="0" t="s">
        <v>287</v>
      </c>
      <c r="B146" s="0" t="n">
        <v>1</v>
      </c>
      <c r="C146" s="0" t="str">
        <f aca="false">MID(A146,4,3)</f>
        <v>RAV</v>
      </c>
      <c r="D146" s="0" t="str">
        <f aca="false">MID(A146,11,4)</f>
        <v>5902</v>
      </c>
      <c r="E146" s="0" t="s">
        <v>288</v>
      </c>
      <c r="F146" s="0" t="s">
        <v>10</v>
      </c>
      <c r="G146" s="0" t="str">
        <f aca="false">MID(A146,8,1)</f>
        <v>4</v>
      </c>
      <c r="H146" s="0" t="n">
        <v>1</v>
      </c>
    </row>
    <row r="147" customFormat="false" ht="15" hidden="false" customHeight="true" outlineLevel="0" collapsed="false">
      <c r="A147" s="0" t="s">
        <v>289</v>
      </c>
      <c r="B147" s="0" t="n">
        <v>1</v>
      </c>
      <c r="C147" s="0" t="str">
        <f aca="false">MID(A147,4,3)</f>
        <v>RAV</v>
      </c>
      <c r="D147" s="0" t="str">
        <f aca="false">MID(A147,11,4)</f>
        <v>5902</v>
      </c>
      <c r="E147" s="0" t="s">
        <v>290</v>
      </c>
      <c r="F147" s="0" t="s">
        <v>10</v>
      </c>
      <c r="G147" s="0" t="str">
        <f aca="false">MID(A147,8,1)</f>
        <v>4</v>
      </c>
      <c r="H147" s="0" t="n">
        <v>1</v>
      </c>
    </row>
    <row r="148" customFormat="false" ht="15" hidden="false" customHeight="true" outlineLevel="0" collapsed="false">
      <c r="A148" s="0" t="s">
        <v>291</v>
      </c>
      <c r="B148" s="0" t="n">
        <v>1</v>
      </c>
      <c r="C148" s="0" t="str">
        <f aca="false">MID(A148,4,3)</f>
        <v>RAV</v>
      </c>
      <c r="D148" s="0" t="str">
        <f aca="false">MID(A148,11,4)</f>
        <v>5902</v>
      </c>
      <c r="E148" s="0" t="s">
        <v>292</v>
      </c>
      <c r="F148" s="0" t="s">
        <v>10</v>
      </c>
      <c r="G148" s="0" t="str">
        <f aca="false">MID(A148,8,1)</f>
        <v>4</v>
      </c>
      <c r="H148" s="0" t="n">
        <v>1</v>
      </c>
    </row>
    <row r="149" customFormat="false" ht="15" hidden="false" customHeight="true" outlineLevel="0" collapsed="false">
      <c r="A149" s="0" t="s">
        <v>293</v>
      </c>
      <c r="B149" s="0" t="n">
        <v>1</v>
      </c>
      <c r="C149" s="0" t="str">
        <f aca="false">MID(A149,4,3)</f>
        <v>RAV</v>
      </c>
      <c r="D149" s="0" t="str">
        <f aca="false">MID(A149,11,4)</f>
        <v>5902</v>
      </c>
      <c r="E149" s="0" t="s">
        <v>294</v>
      </c>
      <c r="F149" s="0" t="s">
        <v>10</v>
      </c>
      <c r="G149" s="0" t="str">
        <f aca="false">MID(A149,8,1)</f>
        <v>4</v>
      </c>
      <c r="H149" s="0" t="n">
        <v>1</v>
      </c>
    </row>
    <row r="150" customFormat="false" ht="15" hidden="false" customHeight="true" outlineLevel="0" collapsed="false">
      <c r="A150" s="0" t="s">
        <v>295</v>
      </c>
      <c r="B150" s="0" t="n">
        <v>1</v>
      </c>
      <c r="C150" s="0" t="str">
        <f aca="false">MID(A150,4,3)</f>
        <v>REN</v>
      </c>
      <c r="D150" s="0" t="str">
        <f aca="false">MID(A150,11,4)</f>
        <v>3841</v>
      </c>
      <c r="E150" s="0" t="s">
        <v>296</v>
      </c>
      <c r="F150" s="0" t="s">
        <v>10</v>
      </c>
      <c r="G150" s="0" t="str">
        <f aca="false">MID(A150,8,1)</f>
        <v>4</v>
      </c>
      <c r="H150" s="0" t="n">
        <v>1</v>
      </c>
    </row>
    <row r="151" customFormat="false" ht="15" hidden="false" customHeight="true" outlineLevel="0" collapsed="false">
      <c r="A151" s="0" t="s">
        <v>297</v>
      </c>
      <c r="B151" s="0" t="n">
        <v>1</v>
      </c>
      <c r="C151" s="0" t="str">
        <f aca="false">MID(A151,4,3)</f>
        <v>REN</v>
      </c>
      <c r="D151" s="0" t="str">
        <f aca="false">MID(A151,11,4)</f>
        <v>3841</v>
      </c>
      <c r="E151" s="0" t="s">
        <v>298</v>
      </c>
      <c r="F151" s="0" t="s">
        <v>10</v>
      </c>
      <c r="G151" s="0" t="str">
        <f aca="false">MID(A151,8,1)</f>
        <v>4</v>
      </c>
      <c r="H151" s="0" t="n">
        <v>1</v>
      </c>
    </row>
    <row r="152" customFormat="false" ht="15" hidden="false" customHeight="true" outlineLevel="0" collapsed="false">
      <c r="A152" s="0" t="s">
        <v>299</v>
      </c>
      <c r="B152" s="0" t="n">
        <v>1</v>
      </c>
      <c r="C152" s="0" t="str">
        <f aca="false">MID(A152,4,3)</f>
        <v>REN</v>
      </c>
      <c r="D152" s="0" t="str">
        <f aca="false">MID(A152,11,4)</f>
        <v>3841</v>
      </c>
      <c r="E152" s="0" t="s">
        <v>300</v>
      </c>
      <c r="F152" s="0" t="s">
        <v>10</v>
      </c>
      <c r="G152" s="0" t="str">
        <f aca="false">MID(A152,8,1)</f>
        <v>4</v>
      </c>
      <c r="H152" s="0" t="n">
        <v>1</v>
      </c>
    </row>
    <row r="153" customFormat="false" ht="15" hidden="false" customHeight="true" outlineLevel="0" collapsed="false">
      <c r="A153" s="0" t="s">
        <v>301</v>
      </c>
      <c r="B153" s="0" t="n">
        <v>1</v>
      </c>
      <c r="C153" s="0" t="str">
        <f aca="false">MID(A153,4,3)</f>
        <v>REN</v>
      </c>
      <c r="D153" s="0" t="str">
        <f aca="false">MID(A153,11,4)</f>
        <v>3841</v>
      </c>
      <c r="E153" s="0" t="s">
        <v>302</v>
      </c>
      <c r="F153" s="0" t="s">
        <v>10</v>
      </c>
      <c r="G153" s="0" t="str">
        <f aca="false">MID(A153,8,1)</f>
        <v>4</v>
      </c>
      <c r="H153" s="0" t="n">
        <v>1</v>
      </c>
    </row>
    <row r="154" customFormat="false" ht="15" hidden="false" customHeight="true" outlineLevel="0" collapsed="false">
      <c r="A154" s="0" t="s">
        <v>303</v>
      </c>
      <c r="B154" s="0" t="n">
        <v>1</v>
      </c>
      <c r="C154" s="0" t="str">
        <f aca="false">MID(A154,4,3)</f>
        <v>REN</v>
      </c>
      <c r="D154" s="0" t="str">
        <f aca="false">MID(A154,11,4)</f>
        <v>3841</v>
      </c>
      <c r="E154" s="0" t="s">
        <v>304</v>
      </c>
      <c r="F154" s="0" t="s">
        <v>10</v>
      </c>
      <c r="G154" s="0" t="str">
        <f aca="false">MID(A154,8,1)</f>
        <v>4</v>
      </c>
      <c r="H154" s="0" t="n">
        <v>1</v>
      </c>
    </row>
    <row r="155" customFormat="false" ht="15" hidden="false" customHeight="true" outlineLevel="0" collapsed="false">
      <c r="A155" s="0" t="s">
        <v>305</v>
      </c>
      <c r="B155" s="0" t="n">
        <v>1</v>
      </c>
      <c r="C155" s="0" t="str">
        <f aca="false">MID(A155,4,3)</f>
        <v>REN</v>
      </c>
      <c r="D155" s="0" t="str">
        <f aca="false">MID(A155,11,4)</f>
        <v>3841</v>
      </c>
      <c r="E155" s="0" t="s">
        <v>306</v>
      </c>
      <c r="F155" s="0" t="s">
        <v>10</v>
      </c>
      <c r="G155" s="0" t="str">
        <f aca="false">MID(A155,8,1)</f>
        <v>4</v>
      </c>
      <c r="H155" s="0" t="n">
        <v>1</v>
      </c>
    </row>
    <row r="156" customFormat="false" ht="15" hidden="false" customHeight="true" outlineLevel="0" collapsed="false">
      <c r="A156" s="1" t="s">
        <v>307</v>
      </c>
      <c r="B156" s="0" t="n">
        <v>1</v>
      </c>
      <c r="C156" s="0" t="str">
        <f aca="false">MID(A156,4,3)</f>
        <v>REN</v>
      </c>
      <c r="D156" s="0" t="str">
        <f aca="false">MID(A156,11,4)</f>
        <v>3841</v>
      </c>
      <c r="E156" s="1" t="s">
        <v>308</v>
      </c>
      <c r="F156" s="0" t="s">
        <v>10</v>
      </c>
      <c r="G156" s="0" t="str">
        <f aca="false">MID(A156,8,1)</f>
        <v>4</v>
      </c>
      <c r="H156" s="0" t="n">
        <v>1</v>
      </c>
    </row>
    <row r="157" customFormat="false" ht="15" hidden="false" customHeight="true" outlineLevel="0" collapsed="false">
      <c r="A157" s="0" t="s">
        <v>309</v>
      </c>
      <c r="B157" s="0" t="n">
        <v>1</v>
      </c>
      <c r="C157" s="0" t="str">
        <f aca="false">MID(A157,4,3)</f>
        <v>REN</v>
      </c>
      <c r="D157" s="0" t="str">
        <f aca="false">MID(A157,11,4)</f>
        <v>3841</v>
      </c>
      <c r="E157" s="0" t="s">
        <v>310</v>
      </c>
      <c r="F157" s="0" t="s">
        <v>10</v>
      </c>
      <c r="G157" s="0" t="str">
        <f aca="false">MID(A157,8,1)</f>
        <v>4</v>
      </c>
      <c r="H157" s="0" t="n">
        <v>1</v>
      </c>
    </row>
    <row r="158" customFormat="false" ht="15" hidden="false" customHeight="true" outlineLevel="0" collapsed="false">
      <c r="A158" s="0" t="s">
        <v>311</v>
      </c>
      <c r="B158" s="0" t="n">
        <v>1</v>
      </c>
      <c r="C158" s="0" t="str">
        <f aca="false">MID(A158,4,3)</f>
        <v>REN</v>
      </c>
      <c r="D158" s="0" t="str">
        <f aca="false">MID(A158,11,4)</f>
        <v>3841</v>
      </c>
      <c r="E158" s="0" t="s">
        <v>312</v>
      </c>
      <c r="F158" s="0" t="s">
        <v>10</v>
      </c>
      <c r="G158" s="0" t="str">
        <f aca="false">MID(A158,8,1)</f>
        <v>4</v>
      </c>
      <c r="H158" s="0" t="n">
        <v>1</v>
      </c>
    </row>
    <row r="159" customFormat="false" ht="15" hidden="false" customHeight="true" outlineLevel="0" collapsed="false">
      <c r="A159" s="0" t="s">
        <v>313</v>
      </c>
      <c r="B159" s="0" t="n">
        <v>1</v>
      </c>
      <c r="C159" s="0" t="str">
        <f aca="false">MID(A159,4,3)</f>
        <v>REN</v>
      </c>
      <c r="D159" s="0" t="str">
        <f aca="false">MID(A159,11,4)</f>
        <v>3841</v>
      </c>
      <c r="E159" s="0" t="s">
        <v>314</v>
      </c>
      <c r="F159" s="0" t="s">
        <v>10</v>
      </c>
      <c r="G159" s="0" t="str">
        <f aca="false">MID(A159,8,1)</f>
        <v>4</v>
      </c>
      <c r="H159" s="0" t="n">
        <v>1</v>
      </c>
    </row>
    <row r="160" customFormat="false" ht="15" hidden="false" customHeight="true" outlineLevel="0" collapsed="false">
      <c r="A160" s="0" t="s">
        <v>315</v>
      </c>
      <c r="B160" s="0" t="n">
        <v>1</v>
      </c>
      <c r="C160" s="0" t="str">
        <f aca="false">MID(A160,4,3)</f>
        <v>REN</v>
      </c>
      <c r="D160" s="0" t="str">
        <f aca="false">MID(A160,11,4)</f>
        <v>3841</v>
      </c>
      <c r="E160" s="0" t="s">
        <v>316</v>
      </c>
      <c r="F160" s="0" t="s">
        <v>10</v>
      </c>
      <c r="G160" s="0" t="str">
        <f aca="false">MID(A160,8,1)</f>
        <v>4</v>
      </c>
      <c r="H160" s="0" t="n">
        <v>1</v>
      </c>
    </row>
    <row r="161" customFormat="false" ht="15" hidden="false" customHeight="true" outlineLevel="0" collapsed="false">
      <c r="A161" s="0" t="s">
        <v>317</v>
      </c>
      <c r="B161" s="0" t="n">
        <v>1</v>
      </c>
      <c r="C161" s="0" t="str">
        <f aca="false">MID(A161,4,3)</f>
        <v>REN</v>
      </c>
      <c r="D161" s="0" t="str">
        <f aca="false">MID(A161,11,4)</f>
        <v>3841</v>
      </c>
      <c r="E161" s="0" t="s">
        <v>318</v>
      </c>
      <c r="F161" s="0" t="s">
        <v>10</v>
      </c>
      <c r="G161" s="0" t="str">
        <f aca="false">MID(A161,8,1)</f>
        <v>4</v>
      </c>
      <c r="H161" s="0" t="n">
        <v>1</v>
      </c>
    </row>
    <row r="162" customFormat="false" ht="15" hidden="false" customHeight="true" outlineLevel="0" collapsed="false">
      <c r="A162" s="0" t="s">
        <v>319</v>
      </c>
      <c r="B162" s="0" t="n">
        <v>1</v>
      </c>
      <c r="C162" s="0" t="str">
        <f aca="false">MID(A162,4,3)</f>
        <v>REN</v>
      </c>
      <c r="D162" s="0" t="str">
        <f aca="false">MID(A162,11,4)</f>
        <v>3841</v>
      </c>
      <c r="E162" s="0" t="s">
        <v>320</v>
      </c>
      <c r="F162" s="0" t="s">
        <v>10</v>
      </c>
      <c r="G162" s="0" t="str">
        <f aca="false">MID(A162,8,1)</f>
        <v>4</v>
      </c>
      <c r="H162" s="0" t="n">
        <v>1</v>
      </c>
    </row>
    <row r="163" customFormat="false" ht="15" hidden="false" customHeight="true" outlineLevel="0" collapsed="false">
      <c r="A163" s="0" t="s">
        <v>321</v>
      </c>
      <c r="B163" s="0" t="n">
        <v>1</v>
      </c>
      <c r="C163" s="0" t="str">
        <f aca="false">MID(A163,4,3)</f>
        <v>REN</v>
      </c>
      <c r="D163" s="0" t="str">
        <f aca="false">MID(A163,11,4)</f>
        <v>3841</v>
      </c>
      <c r="E163" s="0" t="s">
        <v>322</v>
      </c>
      <c r="F163" s="0" t="s">
        <v>10</v>
      </c>
      <c r="G163" s="0" t="str">
        <f aca="false">MID(A163,8,1)</f>
        <v>4</v>
      </c>
      <c r="H163" s="0" t="n">
        <v>1</v>
      </c>
    </row>
    <row r="164" customFormat="false" ht="15" hidden="false" customHeight="true" outlineLevel="0" collapsed="false">
      <c r="A164" s="0" t="s">
        <v>323</v>
      </c>
      <c r="B164" s="0" t="n">
        <v>1</v>
      </c>
      <c r="C164" s="0" t="str">
        <f aca="false">MID(A164,4,3)</f>
        <v>SEN</v>
      </c>
      <c r="D164" s="0" t="str">
        <f aca="false">MID(A164,11,4)</f>
        <v>4125</v>
      </c>
      <c r="E164" s="0" t="s">
        <v>324</v>
      </c>
      <c r="F164" s="0" t="s">
        <v>10</v>
      </c>
      <c r="G164" s="0" t="str">
        <f aca="false">MID(A164,8,1)</f>
        <v>4</v>
      </c>
      <c r="H164" s="0" t="n">
        <v>1</v>
      </c>
    </row>
    <row r="165" customFormat="false" ht="15" hidden="false" customHeight="true" outlineLevel="0" collapsed="false">
      <c r="A165" s="0" t="s">
        <v>325</v>
      </c>
      <c r="B165" s="0" t="n">
        <v>1</v>
      </c>
      <c r="C165" s="0" t="str">
        <f aca="false">MID(A165,4,3)</f>
        <v>SEN</v>
      </c>
      <c r="D165" s="0" t="str">
        <f aca="false">MID(A165,11,4)</f>
        <v>4125</v>
      </c>
      <c r="E165" s="0" t="s">
        <v>326</v>
      </c>
      <c r="F165" s="0" t="s">
        <v>10</v>
      </c>
      <c r="G165" s="0" t="str">
        <f aca="false">MID(A165,8,1)</f>
        <v>4</v>
      </c>
      <c r="H165" s="0" t="n">
        <v>1</v>
      </c>
    </row>
    <row r="166" customFormat="false" ht="15" hidden="false" customHeight="true" outlineLevel="0" collapsed="false">
      <c r="A166" s="0" t="s">
        <v>327</v>
      </c>
      <c r="B166" s="0" t="n">
        <v>1</v>
      </c>
      <c r="C166" s="0" t="str">
        <f aca="false">MID(A166,4,3)</f>
        <v>SEN</v>
      </c>
      <c r="D166" s="0" t="str">
        <f aca="false">MID(A166,11,4)</f>
        <v>4125</v>
      </c>
      <c r="E166" s="0" t="s">
        <v>328</v>
      </c>
      <c r="F166" s="0" t="s">
        <v>10</v>
      </c>
      <c r="G166" s="0" t="str">
        <f aca="false">MID(A166,8,1)</f>
        <v>4</v>
      </c>
      <c r="H166" s="0" t="n">
        <v>1</v>
      </c>
    </row>
    <row r="167" customFormat="false" ht="15" hidden="false" customHeight="true" outlineLevel="0" collapsed="false">
      <c r="A167" s="0" t="s">
        <v>329</v>
      </c>
      <c r="B167" s="0" t="n">
        <v>1</v>
      </c>
      <c r="C167" s="0" t="str">
        <f aca="false">MID(A167,4,3)</f>
        <v>SEN</v>
      </c>
      <c r="D167" s="0" t="str">
        <f aca="false">MID(A167,11,4)</f>
        <v>4125</v>
      </c>
      <c r="E167" s="0" t="s">
        <v>330</v>
      </c>
      <c r="F167" s="0" t="s">
        <v>10</v>
      </c>
      <c r="G167" s="0" t="str">
        <f aca="false">MID(A167,8,1)</f>
        <v>4</v>
      </c>
      <c r="H167" s="0" t="n">
        <v>1</v>
      </c>
    </row>
    <row r="168" customFormat="false" ht="15" hidden="false" customHeight="true" outlineLevel="0" collapsed="false">
      <c r="A168" s="0" t="s">
        <v>331</v>
      </c>
      <c r="B168" s="0" t="n">
        <v>1</v>
      </c>
      <c r="C168" s="0" t="str">
        <f aca="false">MID(A168,4,3)</f>
        <v>SEN</v>
      </c>
      <c r="D168" s="0" t="str">
        <f aca="false">MID(A168,11,4)</f>
        <v>4125</v>
      </c>
      <c r="E168" s="0" t="s">
        <v>332</v>
      </c>
      <c r="F168" s="0" t="s">
        <v>10</v>
      </c>
      <c r="G168" s="0" t="str">
        <f aca="false">MID(A168,8,1)</f>
        <v>4</v>
      </c>
      <c r="H168" s="0" t="n">
        <v>1</v>
      </c>
    </row>
    <row r="169" customFormat="false" ht="15" hidden="false" customHeight="true" outlineLevel="0" collapsed="false">
      <c r="A169" s="0" t="s">
        <v>333</v>
      </c>
      <c r="B169" s="0" t="n">
        <v>1</v>
      </c>
      <c r="C169" s="0" t="str">
        <f aca="false">MID(A169,4,3)</f>
        <v>SEN</v>
      </c>
      <c r="D169" s="0" t="str">
        <f aca="false">MID(A169,11,4)</f>
        <v>4125</v>
      </c>
      <c r="E169" s="0" t="s">
        <v>334</v>
      </c>
      <c r="F169" s="0" t="s">
        <v>10</v>
      </c>
      <c r="G169" s="0" t="str">
        <f aca="false">MID(A169,8,1)</f>
        <v>4</v>
      </c>
      <c r="H169" s="0" t="n">
        <v>1</v>
      </c>
    </row>
    <row r="170" customFormat="false" ht="15" hidden="false" customHeight="true" outlineLevel="0" collapsed="false">
      <c r="A170" s="0" t="s">
        <v>335</v>
      </c>
      <c r="B170" s="0" t="n">
        <v>1</v>
      </c>
      <c r="C170" s="0" t="str">
        <f aca="false">MID(A170,4,3)</f>
        <v>SEN</v>
      </c>
      <c r="D170" s="0" t="str">
        <f aca="false">MID(A170,11,4)</f>
        <v>4126</v>
      </c>
      <c r="E170" s="0" t="s">
        <v>336</v>
      </c>
      <c r="F170" s="0" t="s">
        <v>10</v>
      </c>
      <c r="G170" s="0" t="str">
        <f aca="false">MID(A170,8,1)</f>
        <v>4</v>
      </c>
      <c r="H170" s="0" t="n">
        <v>1</v>
      </c>
    </row>
    <row r="171" customFormat="false" ht="15" hidden="false" customHeight="true" outlineLevel="0" collapsed="false">
      <c r="A171" s="0" t="s">
        <v>337</v>
      </c>
      <c r="B171" s="0" t="n">
        <v>1</v>
      </c>
      <c r="C171" s="0" t="str">
        <f aca="false">MID(A171,4,3)</f>
        <v>SEN</v>
      </c>
      <c r="D171" s="0" t="str">
        <f aca="false">MID(A171,11,4)</f>
        <v>4126</v>
      </c>
      <c r="E171" s="0" t="s">
        <v>338</v>
      </c>
      <c r="F171" s="0" t="s">
        <v>10</v>
      </c>
      <c r="G171" s="0" t="str">
        <f aca="false">MID(A171,8,1)</f>
        <v>4</v>
      </c>
      <c r="H171" s="0" t="n">
        <v>1</v>
      </c>
    </row>
    <row r="172" customFormat="false" ht="15" hidden="false" customHeight="true" outlineLevel="0" collapsed="false">
      <c r="A172" s="0" t="s">
        <v>339</v>
      </c>
      <c r="B172" s="0" t="n">
        <v>1</v>
      </c>
      <c r="C172" s="0" t="str">
        <f aca="false">MID(A172,4,3)</f>
        <v>SEN</v>
      </c>
      <c r="D172" s="0" t="str">
        <f aca="false">MID(A172,11,4)</f>
        <v>4126</v>
      </c>
      <c r="E172" s="0" t="s">
        <v>340</v>
      </c>
      <c r="F172" s="0" t="s">
        <v>10</v>
      </c>
      <c r="G172" s="0" t="str">
        <f aca="false">MID(A172,8,1)</f>
        <v>4</v>
      </c>
      <c r="H172" s="0" t="n">
        <v>1</v>
      </c>
    </row>
    <row r="173" customFormat="false" ht="15" hidden="false" customHeight="true" outlineLevel="0" collapsed="false">
      <c r="A173" s="0" t="s">
        <v>341</v>
      </c>
      <c r="B173" s="0" t="n">
        <v>1</v>
      </c>
      <c r="C173" s="0" t="str">
        <f aca="false">MID(A173,4,3)</f>
        <v>SEN</v>
      </c>
      <c r="D173" s="0" t="str">
        <f aca="false">MID(A173,11,4)</f>
        <v>4126</v>
      </c>
      <c r="E173" s="0" t="s">
        <v>342</v>
      </c>
      <c r="F173" s="0" t="s">
        <v>10</v>
      </c>
      <c r="G173" s="0" t="str">
        <f aca="false">MID(A173,8,1)</f>
        <v>4</v>
      </c>
      <c r="H173" s="0" t="n">
        <v>1</v>
      </c>
    </row>
    <row r="174" customFormat="false" ht="15" hidden="false" customHeight="true" outlineLevel="0" collapsed="false">
      <c r="A174" s="0" t="s">
        <v>343</v>
      </c>
      <c r="B174" s="0" t="n">
        <v>1</v>
      </c>
      <c r="C174" s="0" t="str">
        <f aca="false">MID(A174,4,3)</f>
        <v>SEN</v>
      </c>
      <c r="D174" s="0" t="str">
        <f aca="false">MID(A174,11,4)</f>
        <v>4126</v>
      </c>
      <c r="E174" s="0" t="s">
        <v>344</v>
      </c>
      <c r="F174" s="0" t="s">
        <v>10</v>
      </c>
      <c r="G174" s="0" t="str">
        <f aca="false">MID(A174,8,1)</f>
        <v>4</v>
      </c>
      <c r="H174" s="0" t="n">
        <v>1</v>
      </c>
    </row>
    <row r="175" customFormat="false" ht="15" hidden="false" customHeight="true" outlineLevel="0" collapsed="false">
      <c r="A175" s="0" t="s">
        <v>345</v>
      </c>
      <c r="B175" s="0" t="n">
        <v>1</v>
      </c>
      <c r="C175" s="0" t="str">
        <f aca="false">MID(A175,4,3)</f>
        <v>SEN</v>
      </c>
      <c r="D175" s="0" t="str">
        <f aca="false">MID(A175,11,4)</f>
        <v>4126</v>
      </c>
      <c r="E175" s="0" t="s">
        <v>346</v>
      </c>
      <c r="F175" s="0" t="s">
        <v>10</v>
      </c>
      <c r="G175" s="0" t="str">
        <f aca="false">MID(A175,8,1)</f>
        <v>4</v>
      </c>
      <c r="H175" s="0" t="n">
        <v>1</v>
      </c>
    </row>
    <row r="176" customFormat="false" ht="15" hidden="false" customHeight="true" outlineLevel="0" collapsed="false">
      <c r="A176" s="0" t="s">
        <v>347</v>
      </c>
      <c r="B176" s="0" t="n">
        <v>1</v>
      </c>
      <c r="C176" s="0" t="str">
        <f aca="false">MID(A176,4,3)</f>
        <v>SMD</v>
      </c>
      <c r="D176" s="0" t="str">
        <f aca="false">MID(A176,11,4)</f>
        <v>0143</v>
      </c>
      <c r="E176" s="0" t="s">
        <v>348</v>
      </c>
      <c r="F176" s="0" t="s">
        <v>10</v>
      </c>
      <c r="G176" s="0" t="str">
        <f aca="false">MID(A176,8,1)</f>
        <v>4</v>
      </c>
      <c r="H176" s="0" t="n">
        <v>1</v>
      </c>
    </row>
    <row r="177" customFormat="false" ht="15" hidden="false" customHeight="true" outlineLevel="0" collapsed="false">
      <c r="A177" s="0" t="s">
        <v>349</v>
      </c>
      <c r="B177" s="0" t="n">
        <v>1</v>
      </c>
      <c r="C177" s="0" t="str">
        <f aca="false">MID(A177,4,3)</f>
        <v>SMD</v>
      </c>
      <c r="D177" s="0" t="str">
        <f aca="false">MID(A177,11,4)</f>
        <v>0143</v>
      </c>
      <c r="E177" s="0" t="s">
        <v>350</v>
      </c>
      <c r="F177" s="0" t="s">
        <v>10</v>
      </c>
      <c r="G177" s="0" t="str">
        <f aca="false">MID(A177,8,1)</f>
        <v>4</v>
      </c>
      <c r="H177" s="0" t="n">
        <v>1</v>
      </c>
    </row>
    <row r="178" customFormat="false" ht="15" hidden="false" customHeight="true" outlineLevel="0" collapsed="false">
      <c r="A178" s="0" t="s">
        <v>351</v>
      </c>
      <c r="B178" s="0" t="n">
        <v>1</v>
      </c>
      <c r="C178" s="0" t="str">
        <f aca="false">MID(A178,4,3)</f>
        <v>SMD</v>
      </c>
      <c r="D178" s="0" t="str">
        <f aca="false">MID(A178,11,4)</f>
        <v>0144</v>
      </c>
      <c r="E178" s="0" t="s">
        <v>352</v>
      </c>
      <c r="F178" s="0" t="s">
        <v>10</v>
      </c>
      <c r="G178" s="0" t="str">
        <f aca="false">MID(A178,8,1)</f>
        <v>4</v>
      </c>
      <c r="H178" s="0" t="n">
        <v>1</v>
      </c>
    </row>
    <row r="179" customFormat="false" ht="15" hidden="false" customHeight="true" outlineLevel="0" collapsed="false">
      <c r="A179" s="0" t="s">
        <v>353</v>
      </c>
      <c r="B179" s="0" t="n">
        <v>1</v>
      </c>
      <c r="C179" s="0" t="str">
        <f aca="false">MID(A179,4,3)</f>
        <v>SMD</v>
      </c>
      <c r="D179" s="0" t="str">
        <f aca="false">MID(A179,11,4)</f>
        <v>0144</v>
      </c>
      <c r="E179" s="0" t="s">
        <v>354</v>
      </c>
      <c r="F179" s="0" t="s">
        <v>10</v>
      </c>
      <c r="G179" s="0" t="str">
        <f aca="false">MID(A179,8,1)</f>
        <v>4</v>
      </c>
      <c r="H179" s="0" t="n">
        <v>1</v>
      </c>
    </row>
    <row r="180" customFormat="false" ht="15" hidden="false" customHeight="true" outlineLevel="0" collapsed="false">
      <c r="A180" s="1" t="s">
        <v>355</v>
      </c>
      <c r="B180" s="0" t="n">
        <v>1</v>
      </c>
      <c r="C180" s="0" t="str">
        <f aca="false">MID(A180,4,3)</f>
        <v>SPR</v>
      </c>
      <c r="D180" s="0" t="str">
        <f aca="false">MID(A180,11,4)</f>
        <v>0060</v>
      </c>
      <c r="E180" s="1" t="s">
        <v>356</v>
      </c>
      <c r="F180" s="0" t="s">
        <v>10</v>
      </c>
      <c r="G180" s="0" t="str">
        <f aca="false">MID(A180,8,1)</f>
        <v>2</v>
      </c>
      <c r="H180" s="0" t="n">
        <v>1</v>
      </c>
    </row>
    <row r="181" customFormat="false" ht="15" hidden="false" customHeight="true" outlineLevel="0" collapsed="false">
      <c r="A181" s="1" t="s">
        <v>357</v>
      </c>
      <c r="B181" s="0" t="n">
        <v>1</v>
      </c>
      <c r="C181" s="0" t="str">
        <f aca="false">MID(A181,4,3)</f>
        <v>SPR</v>
      </c>
      <c r="D181" s="0" t="str">
        <f aca="false">MID(A181,11,4)</f>
        <v>0060</v>
      </c>
      <c r="E181" s="1" t="s">
        <v>358</v>
      </c>
      <c r="F181" s="0" t="s">
        <v>10</v>
      </c>
      <c r="G181" s="0" t="str">
        <f aca="false">MID(A181,8,1)</f>
        <v>2</v>
      </c>
      <c r="H181" s="0" t="n">
        <v>1</v>
      </c>
    </row>
    <row r="182" customFormat="false" ht="15" hidden="false" customHeight="true" outlineLevel="0" collapsed="false">
      <c r="A182" s="1" t="s">
        <v>359</v>
      </c>
      <c r="B182" s="0" t="n">
        <v>1</v>
      </c>
      <c r="C182" s="0" t="str">
        <f aca="false">MID(A182,4,3)</f>
        <v>SPR</v>
      </c>
      <c r="D182" s="0" t="str">
        <f aca="false">MID(A182,11,4)</f>
        <v>0060</v>
      </c>
      <c r="E182" s="1" t="s">
        <v>360</v>
      </c>
      <c r="F182" s="0" t="s">
        <v>10</v>
      </c>
      <c r="G182" s="0" t="str">
        <f aca="false">MID(A182,8,1)</f>
        <v>2</v>
      </c>
      <c r="H182" s="0" t="n">
        <v>1</v>
      </c>
    </row>
    <row r="183" customFormat="false" ht="15" hidden="false" customHeight="true" outlineLevel="0" collapsed="false">
      <c r="A183" s="1" t="s">
        <v>361</v>
      </c>
      <c r="B183" s="0" t="n">
        <v>1</v>
      </c>
      <c r="C183" s="0" t="str">
        <f aca="false">MID(A183,4,3)</f>
        <v>SPR</v>
      </c>
      <c r="D183" s="0" t="str">
        <f aca="false">MID(A183,11,4)</f>
        <v>0092</v>
      </c>
      <c r="E183" s="1" t="s">
        <v>362</v>
      </c>
      <c r="F183" s="0" t="s">
        <v>10</v>
      </c>
      <c r="G183" s="0" t="str">
        <f aca="false">MID(A183,8,1)</f>
        <v>2</v>
      </c>
      <c r="H183" s="0" t="n">
        <v>1</v>
      </c>
    </row>
    <row r="184" customFormat="false" ht="15" hidden="false" customHeight="true" outlineLevel="0" collapsed="false">
      <c r="A184" s="0" t="s">
        <v>363</v>
      </c>
      <c r="B184" s="0" t="n">
        <v>1</v>
      </c>
      <c r="C184" s="0" t="str">
        <f aca="false">MID(A184,4,3)</f>
        <v>TAV</v>
      </c>
      <c r="D184" s="0" t="str">
        <f aca="false">MID(A184,11,4)</f>
        <v>4120</v>
      </c>
      <c r="E184" s="0" t="s">
        <v>364</v>
      </c>
      <c r="F184" s="0" t="s">
        <v>10</v>
      </c>
      <c r="G184" s="0" t="str">
        <f aca="false">MID(A184,8,1)</f>
        <v>4</v>
      </c>
      <c r="H184" s="0" t="n">
        <v>1</v>
      </c>
    </row>
    <row r="185" customFormat="false" ht="15" hidden="false" customHeight="true" outlineLevel="0" collapsed="false">
      <c r="A185" s="0" t="s">
        <v>365</v>
      </c>
      <c r="B185" s="0" t="n">
        <v>1</v>
      </c>
      <c r="C185" s="0" t="str">
        <f aca="false">MID(A185,4,3)</f>
        <v>TAV</v>
      </c>
      <c r="D185" s="0" t="str">
        <f aca="false">MID(A185,11,4)</f>
        <v>4120</v>
      </c>
      <c r="E185" s="0" t="s">
        <v>366</v>
      </c>
      <c r="F185" s="0" t="s">
        <v>10</v>
      </c>
      <c r="G185" s="0" t="str">
        <f aca="false">MID(A185,8,1)</f>
        <v>4</v>
      </c>
      <c r="H185" s="0" t="n">
        <v>1</v>
      </c>
    </row>
    <row r="186" customFormat="false" ht="15" hidden="false" customHeight="true" outlineLevel="0" collapsed="false">
      <c r="A186" s="0" t="s">
        <v>367</v>
      </c>
      <c r="B186" s="0" t="n">
        <v>1</v>
      </c>
      <c r="C186" s="0" t="str">
        <f aca="false">MID(A186,4,3)</f>
        <v>TAV</v>
      </c>
      <c r="D186" s="0" t="str">
        <f aca="false">MID(A186,11,4)</f>
        <v>4120</v>
      </c>
      <c r="E186" s="0" t="s">
        <v>368</v>
      </c>
      <c r="F186" s="0" t="s">
        <v>10</v>
      </c>
      <c r="G186" s="0" t="str">
        <f aca="false">MID(A186,8,1)</f>
        <v>4</v>
      </c>
      <c r="H186" s="0" t="n">
        <v>1</v>
      </c>
    </row>
    <row r="187" customFormat="false" ht="15" hidden="false" customHeight="true" outlineLevel="0" collapsed="false">
      <c r="A187" s="0" t="s">
        <v>369</v>
      </c>
      <c r="B187" s="0" t="n">
        <v>1</v>
      </c>
      <c r="C187" s="0" t="str">
        <f aca="false">MID(A187,4,3)</f>
        <v>TAV</v>
      </c>
      <c r="D187" s="0" t="str">
        <f aca="false">MID(A187,11,4)</f>
        <v>4120</v>
      </c>
      <c r="E187" s="0" t="s">
        <v>370</v>
      </c>
      <c r="F187" s="0" t="s">
        <v>10</v>
      </c>
      <c r="G187" s="0" t="str">
        <f aca="false">MID(A187,8,1)</f>
        <v>4</v>
      </c>
      <c r="H187" s="0" t="n">
        <v>1</v>
      </c>
    </row>
    <row r="188" customFormat="false" ht="15" hidden="false" customHeight="true" outlineLevel="0" collapsed="false">
      <c r="A188" s="0" t="s">
        <v>371</v>
      </c>
      <c r="B188" s="0" t="n">
        <v>1</v>
      </c>
      <c r="C188" s="0" t="str">
        <f aca="false">MID(A188,4,3)</f>
        <v>TAV</v>
      </c>
      <c r="D188" s="0" t="str">
        <f aca="false">MID(A188,11,4)</f>
        <v>4120</v>
      </c>
      <c r="E188" s="0" t="s">
        <v>372</v>
      </c>
      <c r="F188" s="0" t="s">
        <v>10</v>
      </c>
      <c r="G188" s="0" t="str">
        <f aca="false">MID(A188,8,1)</f>
        <v>4</v>
      </c>
      <c r="H188" s="0" t="n">
        <v>1</v>
      </c>
    </row>
    <row r="189" customFormat="false" ht="15" hidden="false" customHeight="true" outlineLevel="0" collapsed="false">
      <c r="A189" s="0" t="s">
        <v>373</v>
      </c>
      <c r="B189" s="0" t="n">
        <v>1</v>
      </c>
      <c r="C189" s="0" t="str">
        <f aca="false">MID(A189,4,3)</f>
        <v>TAV</v>
      </c>
      <c r="D189" s="0" t="str">
        <f aca="false">MID(A189,11,4)</f>
        <v>4120</v>
      </c>
      <c r="E189" s="0" t="s">
        <v>374</v>
      </c>
      <c r="F189" s="0" t="s">
        <v>10</v>
      </c>
      <c r="G189" s="0" t="str">
        <f aca="false">MID(A189,8,1)</f>
        <v>4</v>
      </c>
      <c r="H189" s="0" t="n">
        <v>1</v>
      </c>
    </row>
    <row r="190" customFormat="false" ht="15" hidden="false" customHeight="true" outlineLevel="0" collapsed="false">
      <c r="A190" s="0" t="s">
        <v>375</v>
      </c>
      <c r="B190" s="0" t="n">
        <v>1</v>
      </c>
      <c r="C190" s="0" t="str">
        <f aca="false">MID(A190,4,3)</f>
        <v>TAV</v>
      </c>
      <c r="D190" s="0" t="str">
        <f aca="false">MID(A190,11,4)</f>
        <v>4120</v>
      </c>
      <c r="E190" s="0" t="s">
        <v>376</v>
      </c>
      <c r="F190" s="0" t="s">
        <v>10</v>
      </c>
      <c r="G190" s="0" t="str">
        <f aca="false">MID(A190,8,1)</f>
        <v>4</v>
      </c>
      <c r="H190" s="0" t="n">
        <v>1</v>
      </c>
    </row>
    <row r="191" customFormat="false" ht="15" hidden="false" customHeight="true" outlineLevel="0" collapsed="false">
      <c r="A191" s="0" t="s">
        <v>377</v>
      </c>
      <c r="B191" s="0" t="n">
        <v>1</v>
      </c>
      <c r="C191" s="0" t="str">
        <f aca="false">MID(A191,4,3)</f>
        <v>TAV</v>
      </c>
      <c r="D191" s="0" t="str">
        <f aca="false">MID(A191,11,4)</f>
        <v>4120</v>
      </c>
      <c r="E191" s="0" t="s">
        <v>378</v>
      </c>
      <c r="F191" s="0" t="s">
        <v>10</v>
      </c>
      <c r="G191" s="0" t="str">
        <f aca="false">MID(A191,8,1)</f>
        <v>4</v>
      </c>
      <c r="H191" s="0" t="n">
        <v>1</v>
      </c>
    </row>
    <row r="192" customFormat="false" ht="15" hidden="false" customHeight="true" outlineLevel="0" collapsed="false">
      <c r="A192" s="0" t="s">
        <v>379</v>
      </c>
      <c r="B192" s="0" t="n">
        <v>1</v>
      </c>
      <c r="C192" s="0" t="str">
        <f aca="false">MID(A192,4,3)</f>
        <v>UAZ</v>
      </c>
      <c r="D192" s="0" t="str">
        <f aca="false">MID(A192,11,4)</f>
        <v>5658</v>
      </c>
      <c r="E192" s="0" t="s">
        <v>380</v>
      </c>
      <c r="F192" s="0" t="s">
        <v>10</v>
      </c>
      <c r="G192" s="0" t="str">
        <f aca="false">MID(A192,8,1)</f>
        <v>4</v>
      </c>
      <c r="H192" s="0" t="n">
        <v>1</v>
      </c>
    </row>
    <row r="193" customFormat="false" ht="15" hidden="false" customHeight="true" outlineLevel="0" collapsed="false">
      <c r="A193" s="0" t="s">
        <v>381</v>
      </c>
      <c r="B193" s="0" t="n">
        <v>1</v>
      </c>
      <c r="C193" s="0" t="str">
        <f aca="false">MID(A193,4,3)</f>
        <v>UAZ</v>
      </c>
      <c r="D193" s="0" t="str">
        <f aca="false">MID(A193,11,4)</f>
        <v>5658</v>
      </c>
      <c r="E193" s="0" t="s">
        <v>382</v>
      </c>
      <c r="F193" s="0" t="s">
        <v>10</v>
      </c>
      <c r="G193" s="0" t="str">
        <f aca="false">MID(A193,8,1)</f>
        <v>4</v>
      </c>
      <c r="H193" s="0" t="n">
        <v>1</v>
      </c>
    </row>
    <row r="194" customFormat="false" ht="15" hidden="false" customHeight="true" outlineLevel="0" collapsed="false">
      <c r="A194" s="0" t="s">
        <v>383</v>
      </c>
      <c r="B194" s="0" t="n">
        <v>1</v>
      </c>
      <c r="C194" s="0" t="str">
        <f aca="false">MID(A194,4,3)</f>
        <v>UAZ</v>
      </c>
      <c r="D194" s="0" t="str">
        <f aca="false">MID(A194,11,4)</f>
        <v>5660</v>
      </c>
      <c r="E194" s="0" t="s">
        <v>384</v>
      </c>
      <c r="F194" s="0" t="s">
        <v>10</v>
      </c>
      <c r="G194" s="0" t="str">
        <f aca="false">MID(A194,8,1)</f>
        <v>4</v>
      </c>
      <c r="H194" s="0" t="n">
        <v>1</v>
      </c>
    </row>
    <row r="195" customFormat="false" ht="15" hidden="false" customHeight="true" outlineLevel="0" collapsed="false">
      <c r="A195" s="0" t="s">
        <v>385</v>
      </c>
      <c r="B195" s="0" t="n">
        <v>1</v>
      </c>
      <c r="C195" s="0" t="str">
        <f aca="false">MID(A195,4,3)</f>
        <v>UAZ</v>
      </c>
      <c r="D195" s="0" t="str">
        <f aca="false">MID(A195,11,4)</f>
        <v>5660</v>
      </c>
      <c r="E195" s="0" t="s">
        <v>386</v>
      </c>
      <c r="F195" s="0" t="s">
        <v>10</v>
      </c>
      <c r="G195" s="0" t="str">
        <f aca="false">MID(A195,8,1)</f>
        <v>4</v>
      </c>
      <c r="H195" s="0" t="n">
        <v>1</v>
      </c>
    </row>
    <row r="196" customFormat="false" ht="15" hidden="false" customHeight="true" outlineLevel="0" collapsed="false">
      <c r="A196" s="0" t="s">
        <v>387</v>
      </c>
      <c r="B196" s="0" t="n">
        <v>1</v>
      </c>
      <c r="C196" s="0" t="str">
        <f aca="false">MID(A196,4,3)</f>
        <v>UAZ</v>
      </c>
      <c r="D196" s="0" t="str">
        <f aca="false">MID(A196,11,4)</f>
        <v>5660</v>
      </c>
      <c r="E196" s="0" t="s">
        <v>388</v>
      </c>
      <c r="F196" s="0" t="s">
        <v>10</v>
      </c>
      <c r="G196" s="0" t="str">
        <f aca="false">MID(A196,8,1)</f>
        <v>4</v>
      </c>
      <c r="H196" s="0" t="n">
        <v>1</v>
      </c>
    </row>
    <row r="197" customFormat="false" ht="15" hidden="false" customHeight="true" outlineLevel="0" collapsed="false">
      <c r="A197" s="0" t="s">
        <v>389</v>
      </c>
      <c r="B197" s="0" t="n">
        <v>1</v>
      </c>
      <c r="C197" s="0" t="str">
        <f aca="false">MID(A197,4,3)</f>
        <v>UAZ</v>
      </c>
      <c r="D197" s="0" t="str">
        <f aca="false">MID(A197,11,4)</f>
        <v>5660</v>
      </c>
      <c r="E197" s="0" t="s">
        <v>390</v>
      </c>
      <c r="F197" s="0" t="s">
        <v>10</v>
      </c>
      <c r="G197" s="0" t="str">
        <f aca="false">MID(A197,8,1)</f>
        <v>4</v>
      </c>
      <c r="H197" s="0" t="n">
        <v>1</v>
      </c>
    </row>
    <row r="198" customFormat="false" ht="15" hidden="false" customHeight="true" outlineLevel="0" collapsed="false">
      <c r="A198" s="0" t="s">
        <v>391</v>
      </c>
      <c r="B198" s="0" t="n">
        <v>1</v>
      </c>
      <c r="C198" s="0" t="str">
        <f aca="false">MID(A198,4,3)</f>
        <v>UAZ</v>
      </c>
      <c r="D198" s="0" t="str">
        <f aca="false">MID(A198,11,4)</f>
        <v>5660</v>
      </c>
      <c r="E198" s="0" t="s">
        <v>392</v>
      </c>
      <c r="F198" s="0" t="s">
        <v>10</v>
      </c>
      <c r="G198" s="0" t="str">
        <f aca="false">MID(A198,8,1)</f>
        <v>4</v>
      </c>
      <c r="H198" s="0" t="n">
        <v>1</v>
      </c>
    </row>
    <row r="199" customFormat="false" ht="15" hidden="false" customHeight="true" outlineLevel="0" collapsed="false">
      <c r="A199" s="0" t="s">
        <v>393</v>
      </c>
      <c r="B199" s="0" t="n">
        <v>1</v>
      </c>
      <c r="C199" s="0" t="str">
        <f aca="false">MID(A199,4,3)</f>
        <v>UAZ</v>
      </c>
      <c r="D199" s="0" t="str">
        <f aca="false">MID(A199,11,4)</f>
        <v>5660</v>
      </c>
      <c r="E199" s="0" t="s">
        <v>394</v>
      </c>
      <c r="F199" s="0" t="s">
        <v>10</v>
      </c>
      <c r="G199" s="0" t="str">
        <f aca="false">MID(A199,8,1)</f>
        <v>4</v>
      </c>
      <c r="H199" s="0" t="n">
        <v>1</v>
      </c>
    </row>
    <row r="200" customFormat="false" ht="15" hidden="false" customHeight="true" outlineLevel="0" collapsed="false">
      <c r="A200" s="0" t="s">
        <v>395</v>
      </c>
      <c r="B200" s="0" t="n">
        <v>1</v>
      </c>
      <c r="C200" s="0" t="str">
        <f aca="false">MID(A200,4,3)</f>
        <v>UAZ</v>
      </c>
      <c r="D200" s="0" t="str">
        <f aca="false">MID(A200,11,4)</f>
        <v>5661</v>
      </c>
      <c r="E200" s="0" t="s">
        <v>396</v>
      </c>
      <c r="F200" s="0" t="s">
        <v>10</v>
      </c>
      <c r="G200" s="0" t="str">
        <f aca="false">MID(A200,8,1)</f>
        <v>4</v>
      </c>
      <c r="H200" s="0" t="n">
        <v>1</v>
      </c>
    </row>
    <row r="201" customFormat="false" ht="15" hidden="false" customHeight="true" outlineLevel="0" collapsed="false">
      <c r="A201" s="0" t="s">
        <v>397</v>
      </c>
      <c r="B201" s="0" t="n">
        <v>1</v>
      </c>
      <c r="C201" s="0" t="str">
        <f aca="false">MID(A201,4,3)</f>
        <v>UAZ</v>
      </c>
      <c r="D201" s="0" t="str">
        <f aca="false">MID(A201,11,4)</f>
        <v>5661</v>
      </c>
      <c r="E201" s="0" t="s">
        <v>398</v>
      </c>
      <c r="F201" s="0" t="s">
        <v>10</v>
      </c>
      <c r="G201" s="0" t="str">
        <f aca="false">MID(A201,8,1)</f>
        <v>4</v>
      </c>
      <c r="H201" s="0" t="n">
        <v>1</v>
      </c>
    </row>
    <row r="202" customFormat="false" ht="15" hidden="false" customHeight="true" outlineLevel="0" collapsed="false">
      <c r="A202" s="0" t="s">
        <v>399</v>
      </c>
      <c r="B202" s="0" t="n">
        <v>1</v>
      </c>
      <c r="C202" s="0" t="str">
        <f aca="false">MID(A202,4,3)</f>
        <v>UAZ</v>
      </c>
      <c r="D202" s="0" t="str">
        <f aca="false">MID(A202,11,4)</f>
        <v>5661</v>
      </c>
      <c r="E202" s="0" t="s">
        <v>400</v>
      </c>
      <c r="F202" s="0" t="s">
        <v>10</v>
      </c>
      <c r="G202" s="0" t="str">
        <f aca="false">MID(A202,8,1)</f>
        <v>4</v>
      </c>
      <c r="H202" s="0" t="n">
        <v>1</v>
      </c>
    </row>
    <row r="203" customFormat="false" ht="15" hidden="false" customHeight="true" outlineLevel="0" collapsed="false">
      <c r="A203" s="0" t="s">
        <v>401</v>
      </c>
      <c r="B203" s="0" t="n">
        <v>1</v>
      </c>
      <c r="C203" s="0" t="str">
        <f aca="false">MID(A203,4,3)</f>
        <v>UAZ</v>
      </c>
      <c r="D203" s="0" t="str">
        <f aca="false">MID(A203,11,4)</f>
        <v>5661</v>
      </c>
      <c r="E203" s="0" t="s">
        <v>402</v>
      </c>
      <c r="F203" s="0" t="s">
        <v>10</v>
      </c>
      <c r="G203" s="0" t="str">
        <f aca="false">MID(A203,8,1)</f>
        <v>4</v>
      </c>
      <c r="H203" s="0" t="n">
        <v>1</v>
      </c>
    </row>
    <row r="204" customFormat="false" ht="15" hidden="false" customHeight="true" outlineLevel="0" collapsed="false">
      <c r="A204" s="0" t="s">
        <v>403</v>
      </c>
      <c r="B204" s="0" t="n">
        <v>1</v>
      </c>
      <c r="C204" s="0" t="str">
        <f aca="false">MID(A204,4,3)</f>
        <v>UAZ</v>
      </c>
      <c r="D204" s="0" t="str">
        <f aca="false">MID(A204,11,4)</f>
        <v>5661</v>
      </c>
      <c r="E204" s="0" t="s">
        <v>404</v>
      </c>
      <c r="F204" s="0" t="s">
        <v>10</v>
      </c>
      <c r="G204" s="0" t="str">
        <f aca="false">MID(A204,8,1)</f>
        <v>4</v>
      </c>
      <c r="H204" s="0" t="n">
        <v>1</v>
      </c>
    </row>
    <row r="205" customFormat="false" ht="15" hidden="false" customHeight="true" outlineLevel="0" collapsed="false">
      <c r="A205" s="0" t="s">
        <v>405</v>
      </c>
      <c r="B205" s="0" t="n">
        <v>1</v>
      </c>
      <c r="C205" s="0" t="str">
        <f aca="false">MID(A205,4,3)</f>
        <v>UAZ</v>
      </c>
      <c r="D205" s="0" t="str">
        <f aca="false">MID(A205,11,4)</f>
        <v>5661</v>
      </c>
      <c r="E205" s="0" t="s">
        <v>406</v>
      </c>
      <c r="F205" s="0" t="s">
        <v>10</v>
      </c>
      <c r="G205" s="0" t="str">
        <f aca="false">MID(A205,8,1)</f>
        <v>4</v>
      </c>
      <c r="H205" s="0" t="n">
        <v>1</v>
      </c>
    </row>
    <row r="206" customFormat="false" ht="15" hidden="false" customHeight="true" outlineLevel="0" collapsed="false">
      <c r="A206" s="0" t="s">
        <v>407</v>
      </c>
      <c r="B206" s="0" t="n">
        <v>1</v>
      </c>
      <c r="C206" s="0" t="str">
        <f aca="false">MID(A206,4,3)</f>
        <v>WOL</v>
      </c>
      <c r="D206" s="0" t="str">
        <f aca="false">MID(A206,11,4)</f>
        <v>5650</v>
      </c>
      <c r="E206" s="0" t="s">
        <v>408</v>
      </c>
      <c r="F206" s="0" t="s">
        <v>10</v>
      </c>
      <c r="G206" s="0" t="str">
        <f aca="false">MID(A206,8,1)</f>
        <v>4</v>
      </c>
      <c r="H206" s="0" t="n">
        <v>1</v>
      </c>
    </row>
    <row r="207" customFormat="false" ht="15" hidden="false" customHeight="true" outlineLevel="0" collapsed="false">
      <c r="A207" s="0" t="s">
        <v>409</v>
      </c>
      <c r="B207" s="0" t="n">
        <v>1</v>
      </c>
      <c r="C207" s="0" t="str">
        <f aca="false">MID(A207,4,3)</f>
        <v>WOL</v>
      </c>
      <c r="D207" s="0" t="str">
        <f aca="false">MID(A207,11,4)</f>
        <v>5650</v>
      </c>
      <c r="E207" s="0" t="s">
        <v>410</v>
      </c>
      <c r="F207" s="0" t="s">
        <v>10</v>
      </c>
      <c r="G207" s="0" t="str">
        <f aca="false">MID(A207,8,1)</f>
        <v>4</v>
      </c>
      <c r="H207" s="0" t="n">
        <v>1</v>
      </c>
    </row>
    <row r="208" customFormat="false" ht="15" hidden="false" customHeight="true" outlineLevel="0" collapsed="false">
      <c r="A208" s="0" t="s">
        <v>411</v>
      </c>
      <c r="B208" s="0" t="n">
        <v>1</v>
      </c>
      <c r="C208" s="0" t="str">
        <f aca="false">MID(A208,4,3)</f>
        <v>WOL</v>
      </c>
      <c r="D208" s="0" t="str">
        <f aca="false">MID(A208,11,4)</f>
        <v>5650</v>
      </c>
      <c r="E208" s="0" t="s">
        <v>412</v>
      </c>
      <c r="F208" s="0" t="s">
        <v>10</v>
      </c>
      <c r="G208" s="0" t="str">
        <f aca="false">MID(A208,8,1)</f>
        <v>4</v>
      </c>
      <c r="H208" s="0" t="n">
        <v>1</v>
      </c>
    </row>
    <row r="209" customFormat="false" ht="15" hidden="false" customHeight="true" outlineLevel="0" collapsed="false">
      <c r="A209" s="0" t="s">
        <v>413</v>
      </c>
      <c r="B209" s="0" t="n">
        <v>1</v>
      </c>
      <c r="C209" s="0" t="str">
        <f aca="false">MID(A209,4,3)</f>
        <v>WOL</v>
      </c>
      <c r="D209" s="0" t="str">
        <f aca="false">MID(A209,11,4)</f>
        <v>5650</v>
      </c>
      <c r="E209" s="0" t="s">
        <v>414</v>
      </c>
      <c r="F209" s="0" t="s">
        <v>10</v>
      </c>
      <c r="G209" s="0" t="str">
        <f aca="false">MID(A209,8,1)</f>
        <v>4</v>
      </c>
      <c r="H209" s="0" t="n">
        <v>1</v>
      </c>
    </row>
    <row r="210" customFormat="false" ht="15" hidden="false" customHeight="true" outlineLevel="0" collapsed="false">
      <c r="A210" s="0" t="s">
        <v>415</v>
      </c>
      <c r="B210" s="0" t="n">
        <v>1</v>
      </c>
      <c r="C210" s="0" t="str">
        <f aca="false">MID(A210,4,3)</f>
        <v>WOL</v>
      </c>
      <c r="D210" s="0" t="str">
        <f aca="false">MID(A210,11,4)</f>
        <v>5650</v>
      </c>
      <c r="E210" s="0" t="s">
        <v>416</v>
      </c>
      <c r="F210" s="0" t="s">
        <v>10</v>
      </c>
      <c r="G210" s="0" t="str">
        <f aca="false">MID(A210,8,1)</f>
        <v>4</v>
      </c>
      <c r="H210" s="0" t="n">
        <v>1</v>
      </c>
    </row>
    <row r="211" customFormat="false" ht="15" hidden="false" customHeight="true" outlineLevel="0" collapsed="false">
      <c r="A211" s="0" t="s">
        <v>417</v>
      </c>
      <c r="B211" s="0" t="n">
        <v>1</v>
      </c>
      <c r="C211" s="0" t="str">
        <f aca="false">MID(A211,4,3)</f>
        <v>WOL</v>
      </c>
      <c r="D211" s="0" t="str">
        <f aca="false">MID(A211,11,4)</f>
        <v>5650</v>
      </c>
      <c r="E211" s="0" t="s">
        <v>418</v>
      </c>
      <c r="F211" s="0" t="s">
        <v>10</v>
      </c>
      <c r="G211" s="0" t="str">
        <f aca="false">MID(A211,8,1)</f>
        <v>4</v>
      </c>
      <c r="H211" s="0" t="n">
        <v>1</v>
      </c>
    </row>
    <row r="212" customFormat="false" ht="15" hidden="false" customHeight="true" outlineLevel="0" collapsed="false">
      <c r="A212" s="0" t="s">
        <v>419</v>
      </c>
      <c r="B212" s="0" t="n">
        <v>1</v>
      </c>
      <c r="C212" s="0" t="str">
        <f aca="false">MID(A212,4,3)</f>
        <v>WOL</v>
      </c>
      <c r="D212" s="0" t="str">
        <f aca="false">MID(A212,11,4)</f>
        <v>5650</v>
      </c>
      <c r="E212" s="0" t="s">
        <v>420</v>
      </c>
      <c r="F212" s="0" t="s">
        <v>10</v>
      </c>
      <c r="G212" s="0" t="str">
        <f aca="false">MID(A212,8,1)</f>
        <v>4</v>
      </c>
      <c r="H212" s="0" t="n">
        <v>1</v>
      </c>
    </row>
    <row r="213" customFormat="false" ht="15" hidden="false" customHeight="true" outlineLevel="0" collapsed="false">
      <c r="A213" s="0" t="s">
        <v>421</v>
      </c>
      <c r="B213" s="0" t="n">
        <v>1</v>
      </c>
      <c r="C213" s="0" t="str">
        <f aca="false">MID(A213,4,3)</f>
        <v>WOL</v>
      </c>
      <c r="D213" s="0" t="str">
        <f aca="false">MID(A213,11,4)</f>
        <v>5650</v>
      </c>
      <c r="E213" s="0" t="s">
        <v>422</v>
      </c>
      <c r="F213" s="0" t="s">
        <v>10</v>
      </c>
      <c r="G213" s="0" t="str">
        <f aca="false">MID(A213,8,1)</f>
        <v>4</v>
      </c>
      <c r="H213" s="0" t="n">
        <v>1</v>
      </c>
    </row>
    <row r="214" customFormat="false" ht="15" hidden="false" customHeight="true" outlineLevel="0" collapsed="false">
      <c r="A214" s="0" t="s">
        <v>423</v>
      </c>
      <c r="B214" s="0" t="n">
        <v>1</v>
      </c>
      <c r="C214" s="0" t="str">
        <f aca="false">MID(A214,4,3)</f>
        <v>WOL</v>
      </c>
      <c r="D214" s="0" t="str">
        <f aca="false">MID(A214,11,4)</f>
        <v>5650</v>
      </c>
      <c r="E214" s="0" t="s">
        <v>424</v>
      </c>
      <c r="F214" s="0" t="s">
        <v>10</v>
      </c>
      <c r="G214" s="0" t="str">
        <f aca="false">MID(A214,8,1)</f>
        <v>4</v>
      </c>
      <c r="H214" s="0" t="n">
        <v>1</v>
      </c>
    </row>
    <row r="215" customFormat="false" ht="15" hidden="false" customHeight="true" outlineLevel="0" collapsed="false">
      <c r="A215" s="0" t="s">
        <v>425</v>
      </c>
      <c r="B215" s="0" t="n">
        <v>1</v>
      </c>
      <c r="C215" s="0" t="str">
        <f aca="false">MID(A215,4,3)</f>
        <v>WOL</v>
      </c>
      <c r="D215" s="0" t="str">
        <f aca="false">MID(A215,11,4)</f>
        <v>5650</v>
      </c>
      <c r="E215" s="0" t="s">
        <v>426</v>
      </c>
      <c r="F215" s="0" t="s">
        <v>10</v>
      </c>
      <c r="G215" s="0" t="str">
        <f aca="false">MID(A215,8,1)</f>
        <v>4</v>
      </c>
      <c r="H215" s="0" t="n">
        <v>1</v>
      </c>
    </row>
    <row r="216" customFormat="false" ht="15" hidden="false" customHeight="true" outlineLevel="0" collapsed="false">
      <c r="A216" s="0" t="s">
        <v>427</v>
      </c>
      <c r="B216" s="0" t="n">
        <v>1</v>
      </c>
      <c r="C216" s="0" t="str">
        <f aca="false">MID(A216,4,3)</f>
        <v>WOL</v>
      </c>
      <c r="D216" s="0" t="str">
        <f aca="false">MID(A216,11,4)</f>
        <v>5650</v>
      </c>
      <c r="E216" s="0" t="s">
        <v>428</v>
      </c>
      <c r="F216" s="0" t="s">
        <v>10</v>
      </c>
      <c r="G216" s="0" t="str">
        <f aca="false">MID(A216,8,1)</f>
        <v>4</v>
      </c>
      <c r="H216" s="0" t="n">
        <v>1</v>
      </c>
    </row>
    <row r="217" customFormat="false" ht="15" hidden="false" customHeight="true" outlineLevel="0" collapsed="false">
      <c r="A217" s="0" t="s">
        <v>429</v>
      </c>
      <c r="B217" s="0" t="n">
        <v>1</v>
      </c>
      <c r="C217" s="0" t="str">
        <f aca="false">MID(A217,4,3)</f>
        <v>WOL</v>
      </c>
      <c r="D217" s="0" t="str">
        <f aca="false">MID(A217,11,4)</f>
        <v>5650</v>
      </c>
      <c r="E217" s="0" t="s">
        <v>430</v>
      </c>
      <c r="F217" s="0" t="s">
        <v>10</v>
      </c>
      <c r="G217" s="0" t="str">
        <f aca="false">MID(A217,8,1)</f>
        <v>4</v>
      </c>
      <c r="H217" s="0" t="n">
        <v>1</v>
      </c>
    </row>
    <row r="218" customFormat="false" ht="15" hidden="false" customHeight="true" outlineLevel="0" collapsed="false">
      <c r="A218" s="0" t="s">
        <v>431</v>
      </c>
      <c r="B218" s="0" t="n">
        <v>1</v>
      </c>
      <c r="C218" s="0" t="str">
        <f aca="false">MID(A218,4,3)</f>
        <v>WOL</v>
      </c>
      <c r="D218" s="0" t="str">
        <f aca="false">MID(A218,11,4)</f>
        <v>5650</v>
      </c>
      <c r="E218" s="0" t="s">
        <v>432</v>
      </c>
      <c r="F218" s="0" t="s">
        <v>10</v>
      </c>
      <c r="G218" s="0" t="str">
        <f aca="false">MID(A218,8,1)</f>
        <v>4</v>
      </c>
      <c r="H218" s="0" t="n">
        <v>1</v>
      </c>
    </row>
    <row r="219" customFormat="false" ht="15" hidden="false" customHeight="true" outlineLevel="0" collapsed="false">
      <c r="A219" s="0" t="s">
        <v>433</v>
      </c>
      <c r="B219" s="0" t="n">
        <v>1</v>
      </c>
      <c r="C219" s="0" t="str">
        <f aca="false">MID(A219,4,3)</f>
        <v>WOL</v>
      </c>
      <c r="D219" s="0" t="str">
        <f aca="false">MID(A219,11,4)</f>
        <v>5651</v>
      </c>
      <c r="E219" s="0" t="s">
        <v>434</v>
      </c>
      <c r="F219" s="0" t="s">
        <v>10</v>
      </c>
      <c r="G219" s="0" t="str">
        <f aca="false">MID(A219,8,1)</f>
        <v>4</v>
      </c>
      <c r="H219" s="0" t="n">
        <v>1</v>
      </c>
    </row>
    <row r="220" customFormat="false" ht="15" hidden="false" customHeight="true" outlineLevel="0" collapsed="false">
      <c r="A220" s="0" t="s">
        <v>435</v>
      </c>
      <c r="B220" s="0" t="n">
        <v>1</v>
      </c>
      <c r="C220" s="0" t="str">
        <f aca="false">MID(A220,4,3)</f>
        <v>WOL</v>
      </c>
      <c r="D220" s="0" t="str">
        <f aca="false">MID(A220,11,4)</f>
        <v>5651</v>
      </c>
      <c r="E220" s="0" t="s">
        <v>436</v>
      </c>
      <c r="F220" s="0" t="s">
        <v>10</v>
      </c>
      <c r="G220" s="0" t="str">
        <f aca="false">MID(A220,8,1)</f>
        <v>4</v>
      </c>
      <c r="H220" s="0" t="n">
        <v>1</v>
      </c>
    </row>
    <row r="221" customFormat="false" ht="15" hidden="false" customHeight="true" outlineLevel="0" collapsed="false">
      <c r="A221" s="0" t="s">
        <v>437</v>
      </c>
      <c r="B221" s="0" t="n">
        <v>1</v>
      </c>
      <c r="C221" s="0" t="str">
        <f aca="false">MID(A221,4,3)</f>
        <v>WOL</v>
      </c>
      <c r="D221" s="0" t="str">
        <f aca="false">MID(A221,11,4)</f>
        <v>5651</v>
      </c>
      <c r="E221" s="0" t="s">
        <v>438</v>
      </c>
      <c r="F221" s="0" t="s">
        <v>10</v>
      </c>
      <c r="G221" s="0" t="str">
        <f aca="false">MID(A221,8,1)</f>
        <v>4</v>
      </c>
      <c r="H221" s="0" t="n">
        <v>1</v>
      </c>
    </row>
    <row r="222" customFormat="false" ht="15" hidden="false" customHeight="true" outlineLevel="0" collapsed="false">
      <c r="A222" s="0" t="s">
        <v>439</v>
      </c>
      <c r="B222" s="0" t="n">
        <v>1</v>
      </c>
      <c r="C222" s="0" t="str">
        <f aca="false">MID(A222,4,3)</f>
        <v>WOL</v>
      </c>
      <c r="D222" s="0" t="str">
        <f aca="false">MID(A222,11,4)</f>
        <v>5651</v>
      </c>
      <c r="E222" s="0" t="s">
        <v>440</v>
      </c>
      <c r="F222" s="0" t="s">
        <v>10</v>
      </c>
      <c r="G222" s="0" t="str">
        <f aca="false">MID(A222,8,1)</f>
        <v>4</v>
      </c>
      <c r="H222" s="0" t="n">
        <v>1</v>
      </c>
    </row>
    <row r="223" customFormat="false" ht="15" hidden="false" customHeight="true" outlineLevel="0" collapsed="false">
      <c r="A223" s="0" t="s">
        <v>441</v>
      </c>
      <c r="B223" s="0" t="n">
        <v>1</v>
      </c>
      <c r="C223" s="0" t="str">
        <f aca="false">MID(A223,4,3)</f>
        <v>WOL</v>
      </c>
      <c r="D223" s="0" t="str">
        <f aca="false">MID(A223,11,4)</f>
        <v>5652</v>
      </c>
      <c r="E223" s="0" t="s">
        <v>442</v>
      </c>
      <c r="F223" s="0" t="s">
        <v>10</v>
      </c>
      <c r="G223" s="0" t="str">
        <f aca="false">MID(A223,8,1)</f>
        <v>4</v>
      </c>
      <c r="H223" s="0" t="n">
        <v>1</v>
      </c>
    </row>
    <row r="224" customFormat="false" ht="15" hidden="false" customHeight="true" outlineLevel="0" collapsed="false">
      <c r="A224" s="0" t="s">
        <v>443</v>
      </c>
      <c r="B224" s="0" t="n">
        <v>1</v>
      </c>
      <c r="C224" s="0" t="str">
        <f aca="false">MID(A224,4,3)</f>
        <v>WOL</v>
      </c>
      <c r="D224" s="0" t="str">
        <f aca="false">MID(A224,11,4)</f>
        <v>5652</v>
      </c>
      <c r="E224" s="0" t="s">
        <v>444</v>
      </c>
      <c r="F224" s="0" t="s">
        <v>10</v>
      </c>
      <c r="G224" s="0" t="str">
        <f aca="false">MID(A224,8,1)</f>
        <v>4</v>
      </c>
      <c r="H224" s="0" t="n">
        <v>1</v>
      </c>
    </row>
    <row r="225" customFormat="false" ht="15" hidden="false" customHeight="true" outlineLevel="0" collapsed="false">
      <c r="A225" s="0" t="s">
        <v>445</v>
      </c>
      <c r="B225" s="0" t="n">
        <v>1</v>
      </c>
      <c r="C225" s="0" t="str">
        <f aca="false">MID(A225,4,3)</f>
        <v>WOL</v>
      </c>
      <c r="D225" s="0" t="str">
        <f aca="false">MID(A225,11,4)</f>
        <v>5652</v>
      </c>
      <c r="E225" s="0" t="s">
        <v>446</v>
      </c>
      <c r="F225" s="0" t="s">
        <v>10</v>
      </c>
      <c r="G225" s="0" t="str">
        <f aca="false">MID(A225,8,1)</f>
        <v>4</v>
      </c>
      <c r="H225" s="0" t="n">
        <v>1</v>
      </c>
    </row>
    <row r="226" customFormat="false" ht="15" hidden="false" customHeight="true" outlineLevel="0" collapsed="false">
      <c r="A226" s="0" t="s">
        <v>447</v>
      </c>
      <c r="B226" s="0" t="n">
        <v>1</v>
      </c>
      <c r="C226" s="0" t="str">
        <f aca="false">MID(A226,4,3)</f>
        <v>WOL</v>
      </c>
      <c r="D226" s="0" t="str">
        <f aca="false">MID(A226,11,4)</f>
        <v>5652</v>
      </c>
      <c r="E226" s="0" t="s">
        <v>448</v>
      </c>
      <c r="F226" s="0" t="s">
        <v>10</v>
      </c>
      <c r="G226" s="0" t="str">
        <f aca="false">MID(A226,8,1)</f>
        <v>4</v>
      </c>
      <c r="H226" s="0" t="n">
        <v>1</v>
      </c>
    </row>
    <row r="227" customFormat="false" ht="15" hidden="false" customHeight="true" outlineLevel="0" collapsed="false">
      <c r="A227" s="0" t="s">
        <v>449</v>
      </c>
      <c r="B227" s="0" t="n">
        <v>1</v>
      </c>
      <c r="C227" s="0" t="str">
        <f aca="false">MID(A227,4,3)</f>
        <v>WOL</v>
      </c>
      <c r="D227" s="0" t="str">
        <f aca="false">MID(A227,11,4)</f>
        <v>5652</v>
      </c>
      <c r="E227" s="0" t="s">
        <v>450</v>
      </c>
      <c r="F227" s="0" t="s">
        <v>10</v>
      </c>
      <c r="G227" s="0" t="str">
        <f aca="false">MID(A227,8,1)</f>
        <v>4</v>
      </c>
      <c r="H227" s="0" t="n">
        <v>1</v>
      </c>
    </row>
    <row r="228" customFormat="false" ht="15" hidden="false" customHeight="true" outlineLevel="0" collapsed="false">
      <c r="A228" s="0" t="s">
        <v>451</v>
      </c>
      <c r="B228" s="0" t="n">
        <v>1</v>
      </c>
      <c r="C228" s="0" t="str">
        <f aca="false">MID(A228,4,3)</f>
        <v>WOL</v>
      </c>
      <c r="D228" s="0" t="str">
        <f aca="false">MID(A228,11,4)</f>
        <v>5652</v>
      </c>
      <c r="E228" s="0" t="s">
        <v>452</v>
      </c>
      <c r="F228" s="0" t="s">
        <v>10</v>
      </c>
      <c r="G228" s="0" t="str">
        <f aca="false">MID(A228,8,1)</f>
        <v>4</v>
      </c>
      <c r="H228" s="0" t="n">
        <v>1</v>
      </c>
    </row>
    <row r="229" customFormat="false" ht="15" hidden="false" customHeight="true" outlineLevel="0" collapsed="false">
      <c r="A229" s="0" t="s">
        <v>453</v>
      </c>
      <c r="B229" s="0" t="n">
        <v>1</v>
      </c>
      <c r="C229" s="0" t="str">
        <f aca="false">MID(A229,4,3)</f>
        <v>WOL</v>
      </c>
      <c r="D229" s="0" t="str">
        <f aca="false">MID(A229,11,4)</f>
        <v>5656</v>
      </c>
      <c r="E229" s="0" t="s">
        <v>454</v>
      </c>
      <c r="F229" s="0" t="s">
        <v>10</v>
      </c>
      <c r="G229" s="0" t="str">
        <f aca="false">MID(A229,8,1)</f>
        <v>4</v>
      </c>
      <c r="H229" s="0" t="n">
        <v>1</v>
      </c>
    </row>
    <row r="230" customFormat="false" ht="15" hidden="false" customHeight="true" outlineLevel="0" collapsed="false">
      <c r="A230" s="0" t="s">
        <v>455</v>
      </c>
      <c r="B230" s="0" t="n">
        <v>1</v>
      </c>
      <c r="C230" s="0" t="str">
        <f aca="false">MID(A230,4,3)</f>
        <v>WOL</v>
      </c>
      <c r="D230" s="0" t="str">
        <f aca="false">MID(A230,11,4)</f>
        <v>5656</v>
      </c>
      <c r="E230" s="0" t="s">
        <v>456</v>
      </c>
      <c r="F230" s="0" t="s">
        <v>10</v>
      </c>
      <c r="G230" s="0" t="str">
        <f aca="false">MID(A230,8,1)</f>
        <v>4</v>
      </c>
      <c r="H230" s="0" t="n">
        <v>1</v>
      </c>
    </row>
    <row r="231" customFormat="false" ht="15" hidden="false" customHeight="true" outlineLevel="0" collapsed="false">
      <c r="A231" s="0" t="s">
        <v>457</v>
      </c>
      <c r="B231" s="0" t="n">
        <v>1</v>
      </c>
      <c r="C231" s="0" t="str">
        <f aca="false">MID(A231,4,3)</f>
        <v>WOL</v>
      </c>
      <c r="D231" s="0" t="str">
        <f aca="false">MID(A231,11,4)</f>
        <v>5656</v>
      </c>
      <c r="E231" s="0" t="s">
        <v>458</v>
      </c>
      <c r="F231" s="0" t="s">
        <v>10</v>
      </c>
      <c r="G231" s="0" t="str">
        <f aca="false">MID(A231,8,1)</f>
        <v>4</v>
      </c>
      <c r="H231" s="0" t="n">
        <v>1</v>
      </c>
    </row>
    <row r="232" customFormat="false" ht="15" hidden="false" customHeight="true" outlineLevel="0" collapsed="false">
      <c r="A232" s="0" t="s">
        <v>459</v>
      </c>
      <c r="B232" s="0" t="n">
        <v>1</v>
      </c>
      <c r="C232" s="0" t="str">
        <f aca="false">MID(A232,4,3)</f>
        <v>WOL</v>
      </c>
      <c r="D232" s="0" t="str">
        <f aca="false">MID(A232,11,4)</f>
        <v>5656</v>
      </c>
      <c r="E232" s="0" t="s">
        <v>460</v>
      </c>
      <c r="F232" s="0" t="s">
        <v>10</v>
      </c>
      <c r="G232" s="0" t="str">
        <f aca="false">MID(A232,8,1)</f>
        <v>4</v>
      </c>
      <c r="H232" s="0" t="n">
        <v>1</v>
      </c>
    </row>
    <row r="233" customFormat="false" ht="15" hidden="false" customHeight="true" outlineLevel="0" collapsed="false">
      <c r="A233" s="0" t="s">
        <v>461</v>
      </c>
      <c r="B233" s="0" t="n">
        <v>1</v>
      </c>
      <c r="C233" s="0" t="str">
        <f aca="false">MID(A233,4,3)</f>
        <v>WOL</v>
      </c>
      <c r="D233" s="0" t="str">
        <f aca="false">MID(A233,11,4)</f>
        <v>5656</v>
      </c>
      <c r="E233" s="0" t="s">
        <v>462</v>
      </c>
      <c r="F233" s="0" t="s">
        <v>10</v>
      </c>
      <c r="G233" s="0" t="str">
        <f aca="false">MID(A233,8,1)</f>
        <v>4</v>
      </c>
      <c r="H233" s="0" t="n">
        <v>1</v>
      </c>
    </row>
    <row r="234" customFormat="false" ht="15" hidden="false" customHeight="true" outlineLevel="0" collapsed="false">
      <c r="A234" s="0" t="s">
        <v>463</v>
      </c>
      <c r="B234" s="0" t="n">
        <v>1</v>
      </c>
      <c r="C234" s="0" t="str">
        <f aca="false">MID(A234,4,3)</f>
        <v>WOL</v>
      </c>
      <c r="D234" s="0" t="str">
        <f aca="false">MID(A234,11,4)</f>
        <v>5656</v>
      </c>
      <c r="E234" s="0" t="s">
        <v>464</v>
      </c>
      <c r="F234" s="0" t="s">
        <v>10</v>
      </c>
      <c r="G234" s="0" t="str">
        <f aca="false">MID(A234,8,1)</f>
        <v>4</v>
      </c>
      <c r="H234" s="0" t="n">
        <v>1</v>
      </c>
    </row>
    <row r="235" customFormat="false" ht="15" hidden="false" customHeight="true" outlineLevel="0" collapsed="false">
      <c r="A235" s="0" t="s">
        <v>465</v>
      </c>
      <c r="B235" s="0" t="n">
        <v>1</v>
      </c>
      <c r="C235" s="0" t="str">
        <f aca="false">MID(A235,4,3)</f>
        <v>WOL</v>
      </c>
      <c r="D235" s="0" t="str">
        <f aca="false">MID(A235,11,4)</f>
        <v>5657</v>
      </c>
      <c r="E235" s="0" t="s">
        <v>466</v>
      </c>
      <c r="F235" s="0" t="s">
        <v>10</v>
      </c>
      <c r="G235" s="0" t="str">
        <f aca="false">MID(A235,8,1)</f>
        <v>4</v>
      </c>
      <c r="H235" s="0" t="n">
        <v>1</v>
      </c>
    </row>
    <row r="236" customFormat="false" ht="15" hidden="false" customHeight="true" outlineLevel="0" collapsed="false">
      <c r="A236" s="0" t="s">
        <v>467</v>
      </c>
      <c r="B236" s="0" t="n">
        <v>1</v>
      </c>
      <c r="C236" s="0" t="str">
        <f aca="false">MID(A236,4,3)</f>
        <v>WOL</v>
      </c>
      <c r="D236" s="0" t="str">
        <f aca="false">MID(A236,11,4)</f>
        <v>5657</v>
      </c>
      <c r="E236" s="0" t="s">
        <v>468</v>
      </c>
      <c r="F236" s="0" t="s">
        <v>10</v>
      </c>
      <c r="G236" s="0" t="str">
        <f aca="false">MID(A236,8,1)</f>
        <v>4</v>
      </c>
      <c r="H236" s="0" t="n">
        <v>1</v>
      </c>
    </row>
    <row r="237" customFormat="false" ht="15" hidden="false" customHeight="true" outlineLevel="0" collapsed="false">
      <c r="A237" s="0" t="s">
        <v>469</v>
      </c>
      <c r="B237" s="0" t="n">
        <v>1</v>
      </c>
      <c r="C237" s="0" t="str">
        <f aca="false">MID(A237,4,3)</f>
        <v>WOL</v>
      </c>
      <c r="D237" s="0" t="str">
        <f aca="false">MID(A237,11,4)</f>
        <v>5657</v>
      </c>
      <c r="E237" s="0" t="s">
        <v>470</v>
      </c>
      <c r="F237" s="0" t="s">
        <v>10</v>
      </c>
      <c r="G237" s="0" t="str">
        <f aca="false">MID(A237,8,1)</f>
        <v>4</v>
      </c>
      <c r="H237" s="0" t="n">
        <v>1</v>
      </c>
    </row>
    <row r="238" customFormat="false" ht="15" hidden="false" customHeight="true" outlineLevel="0" collapsed="false">
      <c r="A238" s="0" t="s">
        <v>471</v>
      </c>
      <c r="B238" s="0" t="n">
        <v>1</v>
      </c>
      <c r="C238" s="0" t="str">
        <f aca="false">MID(A238,4,3)</f>
        <v>WOL</v>
      </c>
      <c r="D238" s="0" t="str">
        <f aca="false">MID(A238,11,4)</f>
        <v>5657</v>
      </c>
      <c r="E238" s="0" t="s">
        <v>472</v>
      </c>
      <c r="F238" s="0" t="s">
        <v>10</v>
      </c>
      <c r="G238" s="0" t="str">
        <f aca="false">MID(A238,8,1)</f>
        <v>4</v>
      </c>
      <c r="H238" s="0" t="n">
        <v>1</v>
      </c>
    </row>
    <row r="239" customFormat="false" ht="15" hidden="false" customHeight="true" outlineLevel="0" collapsed="false">
      <c r="A239" s="0" t="s">
        <v>473</v>
      </c>
      <c r="B239" s="0" t="n">
        <v>1</v>
      </c>
      <c r="C239" s="0" t="str">
        <f aca="false">MID(A239,4,3)</f>
        <v>WOL</v>
      </c>
      <c r="D239" s="0" t="str">
        <f aca="false">MID(A239,11,4)</f>
        <v>5657</v>
      </c>
      <c r="E239" s="0" t="s">
        <v>474</v>
      </c>
      <c r="F239" s="0" t="s">
        <v>10</v>
      </c>
      <c r="G239" s="0" t="str">
        <f aca="false">MID(A239,8,1)</f>
        <v>4</v>
      </c>
      <c r="H239" s="0" t="n">
        <v>1</v>
      </c>
    </row>
    <row r="240" customFormat="false" ht="15" hidden="false" customHeight="true" outlineLevel="0" collapsed="false">
      <c r="A240" s="0" t="s">
        <v>475</v>
      </c>
      <c r="B240" s="0" t="n">
        <v>1</v>
      </c>
      <c r="C240" s="0" t="str">
        <f aca="false">MID(A240,4,3)</f>
        <v>WOL</v>
      </c>
      <c r="D240" s="0" t="str">
        <f aca="false">MID(A240,11,4)</f>
        <v>5657</v>
      </c>
      <c r="E240" s="0" t="s">
        <v>476</v>
      </c>
      <c r="F240" s="0" t="s">
        <v>10</v>
      </c>
      <c r="G240" s="0" t="str">
        <f aca="false">MID(A240,8,1)</f>
        <v>4</v>
      </c>
      <c r="H240" s="0" t="n">
        <v>1</v>
      </c>
    </row>
    <row r="241" customFormat="false" ht="15" hidden="false" customHeight="true" outlineLevel="0" collapsed="false">
      <c r="A241" s="0" t="s">
        <v>477</v>
      </c>
      <c r="B241" s="0" t="n">
        <v>1</v>
      </c>
      <c r="C241" s="0" t="str">
        <f aca="false">MID(A241,4,3)</f>
        <v>YAM</v>
      </c>
      <c r="D241" s="0" t="str">
        <f aca="false">MID(A241,11,4)</f>
        <v>5750</v>
      </c>
      <c r="E241" s="0" t="s">
        <v>478</v>
      </c>
      <c r="F241" s="0" t="s">
        <v>10</v>
      </c>
      <c r="G241" s="0" t="str">
        <f aca="false">MID(A241,8,1)</f>
        <v>1</v>
      </c>
      <c r="H241" s="0" t="n">
        <v>1</v>
      </c>
    </row>
    <row r="242" customFormat="false" ht="15" hidden="false" customHeight="true" outlineLevel="0" collapsed="false">
      <c r="A242" s="0" t="s">
        <v>479</v>
      </c>
      <c r="B242" s="0" t="n">
        <v>1</v>
      </c>
      <c r="C242" s="0" t="str">
        <f aca="false">MID(A242,4,3)</f>
        <v>YAM</v>
      </c>
      <c r="D242" s="0" t="str">
        <f aca="false">MID(A242,11,4)</f>
        <v>5750</v>
      </c>
      <c r="E242" s="0" t="s">
        <v>478</v>
      </c>
      <c r="F242" s="0" t="s">
        <v>10</v>
      </c>
      <c r="G242" s="0" t="str">
        <f aca="false">MID(A242,8,1)</f>
        <v>6</v>
      </c>
      <c r="H242" s="0" t="n">
        <v>1</v>
      </c>
    </row>
    <row r="243" customFormat="false" ht="15" hidden="false" customHeight="true" outlineLevel="0" collapsed="false">
      <c r="A243" s="0" t="s">
        <v>480</v>
      </c>
      <c r="B243" s="0" t="n">
        <v>1</v>
      </c>
      <c r="C243" s="0" t="str">
        <f aca="false">MID(A243,4,3)</f>
        <v>YAM</v>
      </c>
      <c r="D243" s="0" t="str">
        <f aca="false">MID(A243,11,4)</f>
        <v>5751</v>
      </c>
      <c r="E243" s="0" t="s">
        <v>481</v>
      </c>
      <c r="F243" s="0" t="s">
        <v>10</v>
      </c>
      <c r="G243" s="0" t="str">
        <f aca="false">MID(A243,8,1)</f>
        <v>6</v>
      </c>
      <c r="H243" s="0" t="n">
        <v>1</v>
      </c>
    </row>
    <row r="244" customFormat="false" ht="15" hidden="false" customHeight="true" outlineLevel="0" collapsed="false">
      <c r="A244" s="0" t="s">
        <v>482</v>
      </c>
      <c r="B244" s="0" t="n">
        <v>1</v>
      </c>
      <c r="C244" s="0" t="str">
        <f aca="false">MID(A244,4,3)</f>
        <v>ZIL</v>
      </c>
      <c r="D244" s="0" t="str">
        <f aca="false">MID(A244,11,4)</f>
        <v>5990</v>
      </c>
      <c r="E244" s="0" t="s">
        <v>483</v>
      </c>
      <c r="F244" s="0" t="s">
        <v>10</v>
      </c>
      <c r="G244" s="0" t="str">
        <f aca="false">MID(A244,8,1)</f>
        <v>8</v>
      </c>
      <c r="H244" s="0" t="n">
        <v>1</v>
      </c>
    </row>
    <row r="245" customFormat="false" ht="15" hidden="false" customHeight="true" outlineLevel="0" collapsed="false">
      <c r="A245" s="0" t="s">
        <v>484</v>
      </c>
      <c r="B245" s="0" t="n">
        <v>1</v>
      </c>
      <c r="C245" s="0" t="str">
        <f aca="false">MID(A245,4,3)</f>
        <v>ZIL</v>
      </c>
      <c r="D245" s="0" t="str">
        <f aca="false">MID(A245,11,4)</f>
        <v>5990</v>
      </c>
      <c r="E245" s="0" t="s">
        <v>485</v>
      </c>
      <c r="F245" s="0" t="s">
        <v>10</v>
      </c>
      <c r="G245" s="0" t="str">
        <f aca="false">MID(A245,8,1)</f>
        <v>8</v>
      </c>
      <c r="H245" s="0" t="n">
        <v>1</v>
      </c>
    </row>
    <row r="246" customFormat="false" ht="15" hidden="false" customHeight="true" outlineLevel="0" collapsed="false">
      <c r="A246" s="0" t="s">
        <v>486</v>
      </c>
      <c r="B246" s="0" t="n">
        <v>1</v>
      </c>
      <c r="C246" s="0" t="str">
        <f aca="false">MID(A246,4,3)</f>
        <v>ZIL</v>
      </c>
      <c r="D246" s="0" t="str">
        <f aca="false">MID(A246,11,4)</f>
        <v>5990</v>
      </c>
      <c r="E246" s="0" t="s">
        <v>487</v>
      </c>
      <c r="F246" s="0" t="s">
        <v>10</v>
      </c>
      <c r="G246" s="0" t="str">
        <f aca="false">MID(A246,8,1)</f>
        <v>8</v>
      </c>
      <c r="H246" s="0" t="n">
        <v>1</v>
      </c>
    </row>
    <row r="247" customFormat="false" ht="15" hidden="false" customHeight="true" outlineLevel="0" collapsed="false">
      <c r="A247" s="0" t="s">
        <v>488</v>
      </c>
      <c r="B247" s="0" t="n">
        <v>1</v>
      </c>
      <c r="C247" s="0" t="str">
        <f aca="false">MID(A247,4,3)</f>
        <v>ZIL</v>
      </c>
      <c r="D247" s="0" t="str">
        <f aca="false">MID(A247,11,4)</f>
        <v>5990</v>
      </c>
      <c r="E247" s="0" t="s">
        <v>489</v>
      </c>
      <c r="F247" s="0" t="s">
        <v>10</v>
      </c>
      <c r="G247" s="0" t="str">
        <f aca="false">MID(A247,8,1)</f>
        <v>8</v>
      </c>
      <c r="H247" s="0" t="n">
        <v>1</v>
      </c>
    </row>
    <row r="248" customFormat="false" ht="15" hidden="false" customHeight="true" outlineLevel="0" collapsed="false">
      <c r="A248" s="1" t="s">
        <v>490</v>
      </c>
      <c r="B248" s="0" t="n">
        <v>1</v>
      </c>
      <c r="C248" s="0" t="str">
        <f aca="false">MID(A248,4,3)</f>
        <v>ZIL</v>
      </c>
      <c r="D248" s="0" t="str">
        <f aca="false">MID(A248,11,4)</f>
        <v>5991</v>
      </c>
      <c r="E248" s="1" t="s">
        <v>491</v>
      </c>
      <c r="F248" s="0" t="s">
        <v>10</v>
      </c>
      <c r="G248" s="0" t="str">
        <f aca="false">MID(A248,8,1)</f>
        <v>8</v>
      </c>
      <c r="H248" s="0" t="n">
        <v>1</v>
      </c>
    </row>
    <row r="249" customFormat="false" ht="15" hidden="false" customHeight="true" outlineLevel="0" collapsed="false">
      <c r="A249" s="0" t="s">
        <v>492</v>
      </c>
      <c r="B249" s="0" t="n">
        <v>2</v>
      </c>
      <c r="C249" s="0" t="str">
        <f aca="false">MID(A249,2,3)</f>
        <v>CHE</v>
      </c>
      <c r="D249" s="0" t="str">
        <f aca="false">LEFT(A249,7)</f>
        <v>PCHE003</v>
      </c>
      <c r="E249" s="0" t="str">
        <f aca="false">RIGHT(A249,5)</f>
        <v>S-0-D</v>
      </c>
      <c r="F249" s="0" t="s">
        <v>493</v>
      </c>
      <c r="G249" s="0" t="n">
        <v>1</v>
      </c>
      <c r="H249" s="0" t="n">
        <v>1</v>
      </c>
    </row>
    <row r="250" customFormat="false" ht="15" hidden="false" customHeight="true" outlineLevel="0" collapsed="false">
      <c r="A250" s="0" t="s">
        <v>494</v>
      </c>
      <c r="B250" s="0" t="n">
        <v>2</v>
      </c>
      <c r="C250" s="0" t="str">
        <f aca="false">MID(A250,2,3)</f>
        <v>CHE</v>
      </c>
      <c r="D250" s="0" t="str">
        <f aca="false">LEFT(A250,7)</f>
        <v>PCHE005</v>
      </c>
      <c r="E250" s="0" t="str">
        <f aca="false">RIGHT(A250,5)</f>
        <v>S-0-D</v>
      </c>
      <c r="F250" s="0" t="s">
        <v>493</v>
      </c>
      <c r="G250" s="0" t="n">
        <v>1</v>
      </c>
      <c r="H250" s="0" t="n">
        <v>4</v>
      </c>
    </row>
    <row r="251" customFormat="false" ht="15" hidden="false" customHeight="true" outlineLevel="0" collapsed="false">
      <c r="A251" s="0" t="s">
        <v>495</v>
      </c>
      <c r="B251" s="0" t="n">
        <v>2</v>
      </c>
      <c r="C251" s="0" t="str">
        <f aca="false">MID(A251,2,3)</f>
        <v>CHE</v>
      </c>
      <c r="D251" s="0" t="str">
        <f aca="false">LEFT(A251,7)</f>
        <v>PCHE005</v>
      </c>
      <c r="E251" s="0" t="str">
        <f aca="false">RIGHT(A251,5)</f>
        <v>S-0-N</v>
      </c>
      <c r="F251" s="0" t="s">
        <v>493</v>
      </c>
      <c r="G251" s="0" t="n">
        <v>1</v>
      </c>
      <c r="H251" s="0" t="n">
        <v>4</v>
      </c>
    </row>
    <row r="252" customFormat="false" ht="15" hidden="false" customHeight="true" outlineLevel="0" collapsed="false">
      <c r="A252" s="0" t="s">
        <v>496</v>
      </c>
      <c r="B252" s="0" t="n">
        <v>2</v>
      </c>
      <c r="C252" s="0" t="str">
        <f aca="false">MID(A252,2,3)</f>
        <v>CHE</v>
      </c>
      <c r="D252" s="0" t="str">
        <f aca="false">LEFT(A252,7)</f>
        <v>PCHE006</v>
      </c>
      <c r="E252" s="0" t="str">
        <f aca="false">RIGHT(A252,5)</f>
        <v>A-0-D</v>
      </c>
      <c r="F252" s="0" t="s">
        <v>493</v>
      </c>
      <c r="G252" s="0" t="n">
        <v>1</v>
      </c>
      <c r="H252" s="0" t="n">
        <v>4</v>
      </c>
    </row>
    <row r="253" customFormat="false" ht="15" hidden="false" customHeight="true" outlineLevel="0" collapsed="false">
      <c r="A253" s="0" t="s">
        <v>497</v>
      </c>
      <c r="B253" s="0" t="n">
        <v>2</v>
      </c>
      <c r="C253" s="0" t="str">
        <f aca="false">MID(A253,2,3)</f>
        <v>CHE</v>
      </c>
      <c r="D253" s="0" t="str">
        <f aca="false">LEFT(A253,7)</f>
        <v>PCHE006</v>
      </c>
      <c r="E253" s="0" t="str">
        <f aca="false">RIGHT(A253,5)</f>
        <v>A-0-N</v>
      </c>
      <c r="F253" s="0" t="s">
        <v>493</v>
      </c>
      <c r="G253" s="0" t="n">
        <v>1</v>
      </c>
      <c r="H253" s="0" t="n">
        <v>4</v>
      </c>
    </row>
    <row r="254" customFormat="false" ht="15" hidden="false" customHeight="true" outlineLevel="0" collapsed="false">
      <c r="A254" s="0" t="s">
        <v>498</v>
      </c>
      <c r="B254" s="0" t="n">
        <v>2</v>
      </c>
      <c r="C254" s="0" t="str">
        <f aca="false">MID(A254,2,3)</f>
        <v>CHE</v>
      </c>
      <c r="D254" s="0" t="str">
        <f aca="false">LEFT(A254,7)</f>
        <v>PCHE007</v>
      </c>
      <c r="E254" s="0" t="str">
        <f aca="false">RIGHT(A254,5)</f>
        <v>S-0-D</v>
      </c>
      <c r="F254" s="0" t="s">
        <v>493</v>
      </c>
      <c r="G254" s="0" t="n">
        <v>1</v>
      </c>
      <c r="H254" s="0" t="n">
        <v>4</v>
      </c>
    </row>
    <row r="255" customFormat="false" ht="15" hidden="false" customHeight="true" outlineLevel="0" collapsed="false">
      <c r="A255" s="0" t="s">
        <v>499</v>
      </c>
      <c r="B255" s="0" t="n">
        <v>2</v>
      </c>
      <c r="C255" s="0" t="str">
        <f aca="false">MID(A255,2,3)</f>
        <v>CHE</v>
      </c>
      <c r="D255" s="0" t="str">
        <f aca="false">LEFT(A255,7)</f>
        <v>PCHE007</v>
      </c>
      <c r="E255" s="0" t="str">
        <f aca="false">RIGHT(A255,5)</f>
        <v>S-0-N</v>
      </c>
      <c r="F255" s="0" t="s">
        <v>493</v>
      </c>
      <c r="G255" s="0" t="n">
        <v>1</v>
      </c>
      <c r="H255" s="0" t="n">
        <v>4</v>
      </c>
    </row>
    <row r="256" customFormat="false" ht="15" hidden="false" customHeight="true" outlineLevel="0" collapsed="false">
      <c r="A256" s="0" t="s">
        <v>500</v>
      </c>
      <c r="B256" s="0" t="n">
        <v>2</v>
      </c>
      <c r="C256" s="0" t="str">
        <f aca="false">MID(A256,2,3)</f>
        <v>CHE</v>
      </c>
      <c r="D256" s="0" t="str">
        <f aca="false">LEFT(A256,7)</f>
        <v>PCHE008</v>
      </c>
      <c r="E256" s="0" t="str">
        <f aca="false">RIGHT(A256,5)</f>
        <v>A-0-D</v>
      </c>
      <c r="F256" s="0" t="s">
        <v>493</v>
      </c>
      <c r="G256" s="0" t="n">
        <v>1</v>
      </c>
      <c r="H256" s="0" t="n">
        <v>4</v>
      </c>
    </row>
    <row r="257" customFormat="false" ht="15" hidden="false" customHeight="true" outlineLevel="0" collapsed="false">
      <c r="A257" s="0" t="s">
        <v>501</v>
      </c>
      <c r="B257" s="0" t="n">
        <v>2</v>
      </c>
      <c r="C257" s="0" t="str">
        <f aca="false">MID(A257,2,3)</f>
        <v>CHE</v>
      </c>
      <c r="D257" s="0" t="str">
        <f aca="false">LEFT(A257,7)</f>
        <v>PCHE008</v>
      </c>
      <c r="E257" s="0" t="str">
        <f aca="false">RIGHT(A257,5)</f>
        <v>A-0-N</v>
      </c>
      <c r="F257" s="0" t="s">
        <v>493</v>
      </c>
      <c r="G257" s="0" t="n">
        <v>1</v>
      </c>
      <c r="H257" s="0" t="n">
        <v>4</v>
      </c>
    </row>
    <row r="258" customFormat="false" ht="15" hidden="false" customHeight="true" outlineLevel="0" collapsed="false">
      <c r="A258" s="0" t="s">
        <v>502</v>
      </c>
      <c r="B258" s="0" t="n">
        <v>2</v>
      </c>
      <c r="C258" s="0" t="str">
        <f aca="false">MID(A258,2,3)</f>
        <v>CHE</v>
      </c>
      <c r="D258" s="0" t="str">
        <f aca="false">LEFT(A258,7)</f>
        <v>PCHE013</v>
      </c>
      <c r="E258" s="0" t="str">
        <f aca="false">RIGHT(A258,5)</f>
        <v>S-0-N</v>
      </c>
      <c r="F258" s="0" t="s">
        <v>493</v>
      </c>
      <c r="G258" s="0" t="n">
        <v>1</v>
      </c>
      <c r="H258" s="0" t="n">
        <v>1</v>
      </c>
    </row>
    <row r="259" customFormat="false" ht="15" hidden="false" customHeight="true" outlineLevel="0" collapsed="false">
      <c r="A259" s="0" t="s">
        <v>503</v>
      </c>
      <c r="B259" s="0" t="n">
        <v>2</v>
      </c>
      <c r="C259" s="0" t="str">
        <f aca="false">MID(A259,2,3)</f>
        <v>CHE</v>
      </c>
      <c r="D259" s="0" t="str">
        <f aca="false">LEFT(A259,7)</f>
        <v>PCHE014</v>
      </c>
      <c r="E259" s="0" t="str">
        <f aca="false">RIGHT(A259,5)</f>
        <v>A-0-N</v>
      </c>
      <c r="F259" s="0" t="s">
        <v>493</v>
      </c>
      <c r="G259" s="0" t="n">
        <v>1</v>
      </c>
      <c r="H259" s="0" t="n">
        <v>1</v>
      </c>
    </row>
    <row r="260" customFormat="false" ht="15" hidden="false" customHeight="true" outlineLevel="0" collapsed="false">
      <c r="A260" s="0" t="s">
        <v>504</v>
      </c>
      <c r="B260" s="0" t="n">
        <v>2</v>
      </c>
      <c r="C260" s="0" t="str">
        <f aca="false">MID(A260,2,3)</f>
        <v>CHE</v>
      </c>
      <c r="D260" s="0" t="str">
        <f aca="false">LEFT(A260,7)</f>
        <v>PCHE033</v>
      </c>
      <c r="E260" s="0" t="str">
        <f aca="false">RIGHT(A260,5)</f>
        <v>S-0-N</v>
      </c>
      <c r="F260" s="0" t="s">
        <v>493</v>
      </c>
      <c r="G260" s="0" t="n">
        <v>1</v>
      </c>
      <c r="H260" s="0" t="n">
        <v>4</v>
      </c>
    </row>
    <row r="261" customFormat="false" ht="15" hidden="false" customHeight="true" outlineLevel="0" collapsed="false">
      <c r="A261" s="0" t="s">
        <v>505</v>
      </c>
      <c r="B261" s="0" t="n">
        <v>2</v>
      </c>
      <c r="C261" s="0" t="str">
        <f aca="false">MID(A261,2,3)</f>
        <v>CHE</v>
      </c>
      <c r="D261" s="0" t="str">
        <f aca="false">LEFT(A261,7)</f>
        <v>PCHE034</v>
      </c>
      <c r="E261" s="0" t="str">
        <f aca="false">RIGHT(A261,5)</f>
        <v>A-0-N</v>
      </c>
      <c r="F261" s="0" t="s">
        <v>493</v>
      </c>
      <c r="G261" s="0" t="n">
        <v>1</v>
      </c>
      <c r="H261" s="0" t="n">
        <v>4</v>
      </c>
    </row>
    <row r="262" customFormat="false" ht="15" hidden="false" customHeight="true" outlineLevel="0" collapsed="false">
      <c r="A262" s="0" t="s">
        <v>506</v>
      </c>
      <c r="B262" s="0" t="n">
        <v>2</v>
      </c>
      <c r="C262" s="0" t="str">
        <f aca="false">MID(A262,2,3)</f>
        <v>CHE</v>
      </c>
      <c r="D262" s="0" t="str">
        <f aca="false">LEFT(A262,7)</f>
        <v>PCHE043</v>
      </c>
      <c r="E262" s="0" t="str">
        <f aca="false">RIGHT(A262,5)</f>
        <v>S-0-N</v>
      </c>
      <c r="F262" s="0" t="s">
        <v>493</v>
      </c>
      <c r="G262" s="0" t="n">
        <v>1</v>
      </c>
      <c r="H262" s="0" t="n">
        <v>4</v>
      </c>
    </row>
    <row r="263" customFormat="false" ht="15" hidden="false" customHeight="true" outlineLevel="0" collapsed="false">
      <c r="A263" s="0" t="s">
        <v>507</v>
      </c>
      <c r="B263" s="0" t="n">
        <v>2</v>
      </c>
      <c r="C263" s="0" t="str">
        <f aca="false">MID(A263,2,3)</f>
        <v>CHE</v>
      </c>
      <c r="D263" s="0" t="str">
        <f aca="false">LEFT(A263,7)</f>
        <v>PCHE044</v>
      </c>
      <c r="E263" s="0" t="str">
        <f aca="false">RIGHT(A263,5)</f>
        <v>A-0-N</v>
      </c>
      <c r="F263" s="0" t="s">
        <v>493</v>
      </c>
      <c r="G263" s="0" t="n">
        <v>1</v>
      </c>
      <c r="H263" s="0" t="n">
        <v>4</v>
      </c>
    </row>
    <row r="264" customFormat="false" ht="15" hidden="false" customHeight="true" outlineLevel="0" collapsed="false">
      <c r="A264" s="0" t="s">
        <v>508</v>
      </c>
      <c r="B264" s="0" t="n">
        <v>2</v>
      </c>
      <c r="C264" s="0" t="str">
        <f aca="false">MID(A264,2,3)</f>
        <v>CHE</v>
      </c>
      <c r="D264" s="0" t="str">
        <f aca="false">LEFT(A264,7)</f>
        <v>PCHE045</v>
      </c>
      <c r="E264" s="0" t="str">
        <f aca="false">RIGHT(A264,5)</f>
        <v>S-0-N</v>
      </c>
      <c r="F264" s="0" t="s">
        <v>493</v>
      </c>
      <c r="G264" s="0" t="n">
        <v>1</v>
      </c>
      <c r="H264" s="0" t="n">
        <v>4</v>
      </c>
    </row>
    <row r="265" customFormat="false" ht="15" hidden="false" customHeight="true" outlineLevel="0" collapsed="false">
      <c r="A265" s="0" t="s">
        <v>509</v>
      </c>
      <c r="B265" s="0" t="n">
        <v>2</v>
      </c>
      <c r="C265" s="0" t="str">
        <f aca="false">MID(A265,2,3)</f>
        <v>CHE</v>
      </c>
      <c r="D265" s="0" t="str">
        <f aca="false">LEFT(A265,7)</f>
        <v>PCHE046</v>
      </c>
      <c r="E265" s="0" t="str">
        <f aca="false">RIGHT(A265,5)</f>
        <v>A-0-N</v>
      </c>
      <c r="F265" s="0" t="s">
        <v>493</v>
      </c>
      <c r="G265" s="0" t="n">
        <v>1</v>
      </c>
      <c r="H265" s="0" t="n">
        <v>4</v>
      </c>
    </row>
    <row r="266" customFormat="false" ht="15" hidden="false" customHeight="true" outlineLevel="0" collapsed="false">
      <c r="A266" s="0" t="s">
        <v>510</v>
      </c>
      <c r="B266" s="0" t="n">
        <v>2</v>
      </c>
      <c r="C266" s="0" t="str">
        <f aca="false">MID(A266,2,3)</f>
        <v>CHE</v>
      </c>
      <c r="D266" s="0" t="str">
        <f aca="false">LEFT(A266,7)</f>
        <v>PCHE047</v>
      </c>
      <c r="E266" s="0" t="str">
        <f aca="false">RIGHT(A266,5)</f>
        <v>S-0-N</v>
      </c>
      <c r="F266" s="0" t="s">
        <v>493</v>
      </c>
      <c r="G266" s="0" t="n">
        <v>1</v>
      </c>
      <c r="H266" s="0" t="n">
        <v>4</v>
      </c>
    </row>
    <row r="267" customFormat="false" ht="15" hidden="false" customHeight="true" outlineLevel="0" collapsed="false">
      <c r="A267" s="0" t="s">
        <v>511</v>
      </c>
      <c r="B267" s="0" t="n">
        <v>2</v>
      </c>
      <c r="C267" s="0" t="str">
        <f aca="false">MID(A267,2,3)</f>
        <v>CHE</v>
      </c>
      <c r="D267" s="0" t="str">
        <f aca="false">LEFT(A267,7)</f>
        <v>PCHE048</v>
      </c>
      <c r="E267" s="0" t="str">
        <f aca="false">RIGHT(A267,5)</f>
        <v>A-0-N</v>
      </c>
      <c r="F267" s="0" t="s">
        <v>493</v>
      </c>
      <c r="G267" s="0" t="n">
        <v>1</v>
      </c>
      <c r="H267" s="0" t="n">
        <v>4</v>
      </c>
    </row>
    <row r="268" customFormat="false" ht="15" hidden="false" customHeight="true" outlineLevel="0" collapsed="false">
      <c r="A268" s="1" t="s">
        <v>512</v>
      </c>
      <c r="B268" s="0" t="n">
        <v>2</v>
      </c>
      <c r="C268" s="0" t="str">
        <f aca="false">MID(A268,2,3)</f>
        <v>CUM</v>
      </c>
      <c r="D268" s="0" t="str">
        <f aca="false">LEFT(A268,7)</f>
        <v>PCUM023</v>
      </c>
      <c r="E268" s="1" t="str">
        <f aca="false">RIGHT(A268,5)</f>
        <v>S-0-N</v>
      </c>
      <c r="F268" s="0" t="s">
        <v>493</v>
      </c>
      <c r="G268" s="0" t="n">
        <v>1</v>
      </c>
      <c r="H268" s="0" t="n">
        <v>1</v>
      </c>
    </row>
    <row r="269" customFormat="false" ht="15" hidden="false" customHeight="true" outlineLevel="0" collapsed="false">
      <c r="A269" s="1" t="s">
        <v>513</v>
      </c>
      <c r="B269" s="0" t="n">
        <v>2</v>
      </c>
      <c r="C269" s="0" t="str">
        <f aca="false">MID(A269,2,3)</f>
        <v>CUM</v>
      </c>
      <c r="D269" s="0" t="str">
        <f aca="false">LEFT(A269,7)</f>
        <v>PCUM024</v>
      </c>
      <c r="E269" s="1" t="str">
        <f aca="false">RIGHT(A269,5)</f>
        <v>B-0-N</v>
      </c>
      <c r="F269" s="0" t="s">
        <v>493</v>
      </c>
      <c r="G269" s="0" t="n">
        <v>1</v>
      </c>
      <c r="H269" s="0" t="n">
        <v>1</v>
      </c>
    </row>
    <row r="270" customFormat="false" ht="15" hidden="false" customHeight="true" outlineLevel="0" collapsed="false">
      <c r="A270" s="0" t="s">
        <v>514</v>
      </c>
      <c r="B270" s="0" t="n">
        <v>2</v>
      </c>
      <c r="C270" s="0" t="str">
        <f aca="false">MID(A270,2,3)</f>
        <v>DAE</v>
      </c>
      <c r="D270" s="0" t="str">
        <f aca="false">LEFT(A270,7)</f>
        <v>PDAE001</v>
      </c>
      <c r="E270" s="0" t="str">
        <f aca="false">RIGHT(A270,5)</f>
        <v>S-0-0</v>
      </c>
      <c r="F270" s="0" t="s">
        <v>493</v>
      </c>
      <c r="G270" s="0" t="n">
        <v>1</v>
      </c>
      <c r="H270" s="0" t="n">
        <v>1</v>
      </c>
    </row>
    <row r="271" customFormat="false" ht="15" hidden="false" customHeight="true" outlineLevel="0" collapsed="false">
      <c r="A271" s="0" t="s">
        <v>515</v>
      </c>
      <c r="B271" s="0" t="n">
        <v>2</v>
      </c>
      <c r="C271" s="0" t="str">
        <f aca="false">MID(A271,2,3)</f>
        <v>DAE</v>
      </c>
      <c r="D271" s="0" t="str">
        <f aca="false">LEFT(A271,7)</f>
        <v>PDAE002</v>
      </c>
      <c r="E271" s="0" t="str">
        <f aca="false">RIGHT(A271,5)</f>
        <v>A-0-0</v>
      </c>
      <c r="F271" s="0" t="s">
        <v>493</v>
      </c>
      <c r="G271" s="0" t="n">
        <v>1</v>
      </c>
      <c r="H271" s="0" t="n">
        <v>1</v>
      </c>
    </row>
    <row r="272" customFormat="false" ht="15" hidden="false" customHeight="true" outlineLevel="0" collapsed="false">
      <c r="A272" s="0" t="s">
        <v>516</v>
      </c>
      <c r="B272" s="0" t="n">
        <v>2</v>
      </c>
      <c r="C272" s="0" t="str">
        <f aca="false">MID(A272,2,3)</f>
        <v>DAE</v>
      </c>
      <c r="D272" s="0" t="str">
        <f aca="false">LEFT(A272,7)</f>
        <v>PDAE003</v>
      </c>
      <c r="E272" s="0" t="str">
        <f aca="false">RIGHT(A272,5)</f>
        <v>S-0-D</v>
      </c>
      <c r="F272" s="0" t="s">
        <v>493</v>
      </c>
      <c r="G272" s="0" t="n">
        <v>1</v>
      </c>
      <c r="H272" s="0" t="n">
        <v>4</v>
      </c>
    </row>
    <row r="273" customFormat="false" ht="15" hidden="false" customHeight="true" outlineLevel="0" collapsed="false">
      <c r="A273" s="1" t="s">
        <v>517</v>
      </c>
      <c r="B273" s="0" t="n">
        <v>2</v>
      </c>
      <c r="C273" s="0" t="str">
        <f aca="false">MID(A273,2,3)</f>
        <v>DAE</v>
      </c>
      <c r="D273" s="0" t="str">
        <f aca="false">LEFT(A273,7)</f>
        <v>PDAE003</v>
      </c>
      <c r="E273" s="1" t="str">
        <f aca="false">RIGHT(A273,5)</f>
        <v>S-0-H</v>
      </c>
      <c r="F273" s="0" t="s">
        <v>493</v>
      </c>
      <c r="G273" s="0" t="n">
        <v>1</v>
      </c>
      <c r="H273" s="0" t="n">
        <v>4</v>
      </c>
    </row>
    <row r="274" customFormat="false" ht="15" hidden="false" customHeight="true" outlineLevel="0" collapsed="false">
      <c r="A274" s="0" t="s">
        <v>518</v>
      </c>
      <c r="B274" s="0" t="n">
        <v>2</v>
      </c>
      <c r="C274" s="0" t="str">
        <f aca="false">MID(A274,2,3)</f>
        <v>DAE</v>
      </c>
      <c r="D274" s="0" t="str">
        <f aca="false">LEFT(A274,7)</f>
        <v>PDAE003</v>
      </c>
      <c r="E274" s="0" t="str">
        <f aca="false">RIGHT(A274,5)</f>
        <v>S-0-N</v>
      </c>
      <c r="F274" s="0" t="s">
        <v>493</v>
      </c>
      <c r="G274" s="0" t="n">
        <v>1</v>
      </c>
      <c r="H274" s="0" t="n">
        <v>4</v>
      </c>
    </row>
    <row r="275" customFormat="false" ht="15" hidden="false" customHeight="true" outlineLevel="0" collapsed="false">
      <c r="A275" s="0" t="s">
        <v>519</v>
      </c>
      <c r="B275" s="0" t="n">
        <v>2</v>
      </c>
      <c r="C275" s="0" t="str">
        <f aca="false">MID(A275,2,3)</f>
        <v>DAE</v>
      </c>
      <c r="D275" s="0" t="str">
        <f aca="false">LEFT(A275,7)</f>
        <v>PDAE004</v>
      </c>
      <c r="E275" s="0" t="str">
        <f aca="false">RIGHT(A275,5)</f>
        <v>A-0-D</v>
      </c>
      <c r="F275" s="0" t="s">
        <v>493</v>
      </c>
      <c r="G275" s="0" t="n">
        <v>1</v>
      </c>
      <c r="H275" s="0" t="n">
        <v>4</v>
      </c>
    </row>
    <row r="276" customFormat="false" ht="15" hidden="false" customHeight="true" outlineLevel="0" collapsed="false">
      <c r="A276" s="1" t="s">
        <v>520</v>
      </c>
      <c r="B276" s="0" t="n">
        <v>2</v>
      </c>
      <c r="C276" s="0" t="str">
        <f aca="false">MID(A276,2,3)</f>
        <v>DAE</v>
      </c>
      <c r="D276" s="0" t="str">
        <f aca="false">LEFT(A276,7)</f>
        <v>PDAE004</v>
      </c>
      <c r="E276" s="1" t="str">
        <f aca="false">RIGHT(A276,5)</f>
        <v>A-0-H</v>
      </c>
      <c r="F276" s="0" t="s">
        <v>493</v>
      </c>
      <c r="G276" s="0" t="n">
        <v>1</v>
      </c>
      <c r="H276" s="0" t="n">
        <v>4</v>
      </c>
    </row>
    <row r="277" customFormat="false" ht="15" hidden="false" customHeight="true" outlineLevel="0" collapsed="false">
      <c r="A277" s="0" t="s">
        <v>521</v>
      </c>
      <c r="B277" s="0" t="n">
        <v>2</v>
      </c>
      <c r="C277" s="0" t="str">
        <f aca="false">MID(A277,2,3)</f>
        <v>DAE</v>
      </c>
      <c r="D277" s="0" t="str">
        <f aca="false">LEFT(A277,7)</f>
        <v>PDAE004</v>
      </c>
      <c r="E277" s="0" t="str">
        <f aca="false">RIGHT(A277,5)</f>
        <v>A-0-N</v>
      </c>
      <c r="F277" s="0" t="s">
        <v>493</v>
      </c>
      <c r="G277" s="0" t="n">
        <v>1</v>
      </c>
      <c r="H277" s="0" t="n">
        <v>4</v>
      </c>
    </row>
    <row r="278" customFormat="false" ht="15" hidden="false" customHeight="true" outlineLevel="0" collapsed="false">
      <c r="A278" s="0" t="s">
        <v>522</v>
      </c>
      <c r="B278" s="0" t="n">
        <v>2</v>
      </c>
      <c r="C278" s="0" t="str">
        <f aca="false">MID(A278,2,3)</f>
        <v>DAE</v>
      </c>
      <c r="D278" s="0" t="str">
        <f aca="false">LEFT(A278,7)</f>
        <v>PDAE005</v>
      </c>
      <c r="E278" s="0" t="str">
        <f aca="false">RIGHT(A278,5)</f>
        <v>S-0-D</v>
      </c>
      <c r="F278" s="0" t="s">
        <v>493</v>
      </c>
      <c r="G278" s="0" t="n">
        <v>1</v>
      </c>
      <c r="H278" s="0" t="n">
        <v>4</v>
      </c>
    </row>
    <row r="279" customFormat="false" ht="15" hidden="false" customHeight="true" outlineLevel="0" collapsed="false">
      <c r="A279" s="0" t="s">
        <v>523</v>
      </c>
      <c r="B279" s="0" t="n">
        <v>2</v>
      </c>
      <c r="C279" s="0" t="str">
        <f aca="false">MID(A279,2,3)</f>
        <v>DAE</v>
      </c>
      <c r="D279" s="0" t="str">
        <f aca="false">LEFT(A279,7)</f>
        <v>PDAE005</v>
      </c>
      <c r="E279" s="0" t="str">
        <f aca="false">RIGHT(A279,5)</f>
        <v>S-0-N</v>
      </c>
      <c r="F279" s="0" t="s">
        <v>493</v>
      </c>
      <c r="G279" s="0" t="n">
        <v>1</v>
      </c>
      <c r="H279" s="0" t="n">
        <v>4</v>
      </c>
    </row>
    <row r="280" customFormat="false" ht="15" hidden="false" customHeight="true" outlineLevel="0" collapsed="false">
      <c r="A280" s="0" t="s">
        <v>524</v>
      </c>
      <c r="B280" s="0" t="n">
        <v>2</v>
      </c>
      <c r="C280" s="0" t="str">
        <f aca="false">MID(A280,2,3)</f>
        <v>DAE</v>
      </c>
      <c r="D280" s="0" t="str">
        <f aca="false">LEFT(A280,7)</f>
        <v>PDAE006</v>
      </c>
      <c r="E280" s="0" t="str">
        <f aca="false">RIGHT(A280,5)</f>
        <v>A-0-D</v>
      </c>
      <c r="F280" s="0" t="s">
        <v>493</v>
      </c>
      <c r="G280" s="0" t="n">
        <v>1</v>
      </c>
      <c r="H280" s="0" t="n">
        <v>4</v>
      </c>
    </row>
    <row r="281" customFormat="false" ht="15" hidden="false" customHeight="true" outlineLevel="0" collapsed="false">
      <c r="A281" s="0" t="s">
        <v>525</v>
      </c>
      <c r="B281" s="0" t="n">
        <v>2</v>
      </c>
      <c r="C281" s="0" t="str">
        <f aca="false">MID(A281,2,3)</f>
        <v>DAE</v>
      </c>
      <c r="D281" s="0" t="str">
        <f aca="false">LEFT(A281,7)</f>
        <v>PDAE006</v>
      </c>
      <c r="E281" s="0" t="str">
        <f aca="false">RIGHT(A281,5)</f>
        <v>A-0-N</v>
      </c>
      <c r="F281" s="0" t="s">
        <v>493</v>
      </c>
      <c r="G281" s="0" t="n">
        <v>1</v>
      </c>
      <c r="H281" s="0" t="n">
        <v>4</v>
      </c>
    </row>
    <row r="282" customFormat="false" ht="15" hidden="false" customHeight="true" outlineLevel="0" collapsed="false">
      <c r="A282" s="0" t="s">
        <v>526</v>
      </c>
      <c r="B282" s="0" t="n">
        <v>2</v>
      </c>
      <c r="C282" s="0" t="str">
        <f aca="false">MID(A282,2,3)</f>
        <v>DAE</v>
      </c>
      <c r="D282" s="0" t="str">
        <f aca="false">LEFT(A282,7)</f>
        <v>PDAE008</v>
      </c>
      <c r="E282" s="0" t="str">
        <f aca="false">RIGHT(A282,5)</f>
        <v>A-0-D</v>
      </c>
      <c r="F282" s="0" t="s">
        <v>493</v>
      </c>
      <c r="G282" s="0" t="n">
        <v>1</v>
      </c>
      <c r="H282" s="0" t="n">
        <v>1</v>
      </c>
    </row>
    <row r="283" customFormat="false" ht="15" hidden="false" customHeight="true" outlineLevel="0" collapsed="false">
      <c r="A283" s="0" t="s">
        <v>527</v>
      </c>
      <c r="B283" s="0" t="n">
        <v>2</v>
      </c>
      <c r="C283" s="0" t="str">
        <f aca="false">MID(A283,2,3)</f>
        <v>DAE</v>
      </c>
      <c r="D283" s="0" t="str">
        <f aca="false">LEFT(A283,7)</f>
        <v>PDAE009</v>
      </c>
      <c r="E283" s="0" t="str">
        <f aca="false">RIGHT(A283,5)</f>
        <v>S-0-N</v>
      </c>
      <c r="F283" s="0" t="s">
        <v>493</v>
      </c>
      <c r="G283" s="0" t="n">
        <v>1</v>
      </c>
      <c r="H283" s="0" t="n">
        <v>4</v>
      </c>
    </row>
    <row r="284" customFormat="false" ht="15" hidden="false" customHeight="true" outlineLevel="0" collapsed="false">
      <c r="A284" s="0" t="s">
        <v>528</v>
      </c>
      <c r="B284" s="0" t="n">
        <v>2</v>
      </c>
      <c r="C284" s="0" t="str">
        <f aca="false">MID(A284,2,3)</f>
        <v>DAE</v>
      </c>
      <c r="D284" s="0" t="str">
        <f aca="false">LEFT(A284,7)</f>
        <v>PDAE010</v>
      </c>
      <c r="E284" s="0" t="str">
        <f aca="false">RIGHT(A284,5)</f>
        <v>A-0-N</v>
      </c>
      <c r="F284" s="0" t="s">
        <v>493</v>
      </c>
      <c r="G284" s="0" t="n">
        <v>1</v>
      </c>
      <c r="H284" s="0" t="n">
        <v>4</v>
      </c>
    </row>
    <row r="285" customFormat="false" ht="15" hidden="false" customHeight="true" outlineLevel="0" collapsed="false">
      <c r="A285" s="0" t="s">
        <v>529</v>
      </c>
      <c r="B285" s="0" t="n">
        <v>2</v>
      </c>
      <c r="C285" s="0" t="str">
        <f aca="false">MID(A285,2,3)</f>
        <v>DAE</v>
      </c>
      <c r="D285" s="0" t="str">
        <f aca="false">LEFT(A285,7)</f>
        <v>PDAE011</v>
      </c>
      <c r="E285" s="0" t="str">
        <f aca="false">RIGHT(A285,5)</f>
        <v>S-0-D</v>
      </c>
      <c r="F285" s="0" t="s">
        <v>493</v>
      </c>
      <c r="G285" s="0" t="n">
        <v>1</v>
      </c>
      <c r="H285" s="0" t="n">
        <v>4</v>
      </c>
    </row>
    <row r="286" customFormat="false" ht="15" hidden="false" customHeight="true" outlineLevel="0" collapsed="false">
      <c r="A286" s="0" t="s">
        <v>530</v>
      </c>
      <c r="B286" s="0" t="n">
        <v>2</v>
      </c>
      <c r="C286" s="0" t="str">
        <f aca="false">MID(A286,2,3)</f>
        <v>DAE</v>
      </c>
      <c r="D286" s="0" t="str">
        <f aca="false">LEFT(A286,7)</f>
        <v>PDAE011</v>
      </c>
      <c r="E286" s="0" t="str">
        <f aca="false">RIGHT(A286,5)</f>
        <v>S-0-N</v>
      </c>
      <c r="F286" s="0" t="s">
        <v>493</v>
      </c>
      <c r="G286" s="0" t="n">
        <v>1</v>
      </c>
      <c r="H286" s="0" t="n">
        <v>4</v>
      </c>
    </row>
    <row r="287" customFormat="false" ht="15" hidden="false" customHeight="true" outlineLevel="0" collapsed="false">
      <c r="A287" s="0" t="s">
        <v>531</v>
      </c>
      <c r="B287" s="0" t="n">
        <v>2</v>
      </c>
      <c r="C287" s="0" t="str">
        <f aca="false">MID(A287,2,3)</f>
        <v>DAE</v>
      </c>
      <c r="D287" s="0" t="str">
        <f aca="false">LEFT(A287,7)</f>
        <v>PDAE012</v>
      </c>
      <c r="E287" s="0" t="str">
        <f aca="false">RIGHT(A287,5)</f>
        <v>A-0-D</v>
      </c>
      <c r="F287" s="0" t="s">
        <v>493</v>
      </c>
      <c r="G287" s="0" t="n">
        <v>1</v>
      </c>
      <c r="H287" s="0" t="n">
        <v>4</v>
      </c>
    </row>
    <row r="288" customFormat="false" ht="15" hidden="false" customHeight="true" outlineLevel="0" collapsed="false">
      <c r="A288" s="0" t="s">
        <v>532</v>
      </c>
      <c r="B288" s="0" t="n">
        <v>2</v>
      </c>
      <c r="C288" s="0" t="str">
        <f aca="false">MID(A288,2,3)</f>
        <v>DAE</v>
      </c>
      <c r="D288" s="0" t="str">
        <f aca="false">LEFT(A288,7)</f>
        <v>PDAE012</v>
      </c>
      <c r="E288" s="0" t="str">
        <f aca="false">RIGHT(A288,5)</f>
        <v>A-0-N</v>
      </c>
      <c r="F288" s="0" t="s">
        <v>493</v>
      </c>
      <c r="G288" s="0" t="n">
        <v>1</v>
      </c>
      <c r="H288" s="0" t="n">
        <v>4</v>
      </c>
    </row>
    <row r="289" customFormat="false" ht="15" hidden="false" customHeight="true" outlineLevel="0" collapsed="false">
      <c r="A289" s="0" t="s">
        <v>533</v>
      </c>
      <c r="B289" s="0" t="n">
        <v>2</v>
      </c>
      <c r="C289" s="0" t="str">
        <f aca="false">MID(A289,2,3)</f>
        <v>DAE</v>
      </c>
      <c r="D289" s="0" t="str">
        <f aca="false">LEFT(A289,7)</f>
        <v>PDAE013</v>
      </c>
      <c r="E289" s="0" t="str">
        <f aca="false">RIGHT(A289,5)</f>
        <v>S-0-0</v>
      </c>
      <c r="F289" s="0" t="s">
        <v>493</v>
      </c>
      <c r="G289" s="0" t="n">
        <v>1</v>
      </c>
      <c r="H289" s="0" t="n">
        <v>3</v>
      </c>
    </row>
    <row r="290" customFormat="false" ht="15" hidden="false" customHeight="true" outlineLevel="0" collapsed="false">
      <c r="A290" s="0" t="s">
        <v>534</v>
      </c>
      <c r="B290" s="0" t="n">
        <v>2</v>
      </c>
      <c r="C290" s="0" t="str">
        <f aca="false">MID(A290,2,3)</f>
        <v>DAE</v>
      </c>
      <c r="D290" s="0" t="str">
        <f aca="false">LEFT(A290,7)</f>
        <v>PDAE013</v>
      </c>
      <c r="E290" s="0" t="str">
        <f aca="false">RIGHT(A290,5)</f>
        <v>S-0-D</v>
      </c>
      <c r="F290" s="0" t="s">
        <v>493</v>
      </c>
      <c r="G290" s="0" t="n">
        <v>1</v>
      </c>
      <c r="H290" s="2" t="n">
        <v>3</v>
      </c>
    </row>
    <row r="291" customFormat="false" ht="15" hidden="false" customHeight="true" outlineLevel="0" collapsed="false">
      <c r="A291" s="0" t="s">
        <v>535</v>
      </c>
      <c r="B291" s="0" t="n">
        <v>2</v>
      </c>
      <c r="C291" s="0" t="str">
        <f aca="false">MID(A291,2,3)</f>
        <v>DAE</v>
      </c>
      <c r="D291" s="0" t="str">
        <f aca="false">LEFT(A291,7)</f>
        <v>PDAE013</v>
      </c>
      <c r="E291" s="0" t="str">
        <f aca="false">RIGHT(A291,5)</f>
        <v>S-0-H</v>
      </c>
      <c r="F291" s="0" t="s">
        <v>493</v>
      </c>
      <c r="G291" s="0" t="n">
        <v>1</v>
      </c>
      <c r="H291" s="0" t="n">
        <v>3</v>
      </c>
    </row>
    <row r="292" customFormat="false" ht="15" hidden="false" customHeight="true" outlineLevel="0" collapsed="false">
      <c r="A292" s="0" t="s">
        <v>536</v>
      </c>
      <c r="B292" s="0" t="n">
        <v>2</v>
      </c>
      <c r="C292" s="0" t="str">
        <f aca="false">MID(A292,2,3)</f>
        <v>DAE</v>
      </c>
      <c r="D292" s="0" t="str">
        <f aca="false">LEFT(A292,7)</f>
        <v>PDAE013</v>
      </c>
      <c r="E292" s="0" t="str">
        <f aca="false">RIGHT(A292,5)</f>
        <v>S-0-N</v>
      </c>
      <c r="F292" s="0" t="s">
        <v>493</v>
      </c>
      <c r="G292" s="0" t="n">
        <v>1</v>
      </c>
      <c r="H292" s="0" t="n">
        <v>3</v>
      </c>
    </row>
    <row r="293" customFormat="false" ht="15" hidden="false" customHeight="true" outlineLevel="0" collapsed="false">
      <c r="A293" s="0" t="s">
        <v>537</v>
      </c>
      <c r="B293" s="0" t="n">
        <v>2</v>
      </c>
      <c r="C293" s="0" t="str">
        <f aca="false">MID(A293,2,3)</f>
        <v>DAE</v>
      </c>
      <c r="D293" s="0" t="str">
        <f aca="false">LEFT(A293,7)</f>
        <v>PDAE014</v>
      </c>
      <c r="E293" s="0" t="str">
        <f aca="false">RIGHT(A293,5)</f>
        <v>A-0-D</v>
      </c>
      <c r="F293" s="0" t="s">
        <v>493</v>
      </c>
      <c r="G293" s="0" t="n">
        <v>1</v>
      </c>
      <c r="H293" s="2" t="n">
        <v>3</v>
      </c>
    </row>
    <row r="294" customFormat="false" ht="15" hidden="false" customHeight="true" outlineLevel="0" collapsed="false">
      <c r="A294" s="0" t="s">
        <v>538</v>
      </c>
      <c r="B294" s="0" t="n">
        <v>2</v>
      </c>
      <c r="C294" s="0" t="str">
        <f aca="false">MID(A294,2,3)</f>
        <v>DAE</v>
      </c>
      <c r="D294" s="0" t="str">
        <f aca="false">LEFT(A294,7)</f>
        <v>PDAE014</v>
      </c>
      <c r="E294" s="0" t="str">
        <f aca="false">RIGHT(A294,5)</f>
        <v>B-0-0</v>
      </c>
      <c r="F294" s="0" t="s">
        <v>493</v>
      </c>
      <c r="G294" s="0" t="n">
        <v>1</v>
      </c>
      <c r="H294" s="0" t="n">
        <v>3</v>
      </c>
    </row>
    <row r="295" customFormat="false" ht="15" hidden="false" customHeight="true" outlineLevel="0" collapsed="false">
      <c r="A295" s="0" t="s">
        <v>539</v>
      </c>
      <c r="B295" s="0" t="n">
        <v>2</v>
      </c>
      <c r="C295" s="0" t="str">
        <f aca="false">MID(A295,2,3)</f>
        <v>DAE</v>
      </c>
      <c r="D295" s="0" t="str">
        <f aca="false">LEFT(A295,7)</f>
        <v>PDAE014</v>
      </c>
      <c r="E295" s="0" t="str">
        <f aca="false">RIGHT(A295,5)</f>
        <v>B-0-H</v>
      </c>
      <c r="F295" s="0" t="s">
        <v>493</v>
      </c>
      <c r="G295" s="0" t="n">
        <v>1</v>
      </c>
      <c r="H295" s="0" t="n">
        <v>3</v>
      </c>
    </row>
    <row r="296" customFormat="false" ht="15" hidden="false" customHeight="true" outlineLevel="0" collapsed="false">
      <c r="A296" s="0" t="s">
        <v>540</v>
      </c>
      <c r="B296" s="0" t="n">
        <v>2</v>
      </c>
      <c r="C296" s="0" t="str">
        <f aca="false">MID(A296,2,3)</f>
        <v>DAE</v>
      </c>
      <c r="D296" s="0" t="str">
        <f aca="false">LEFT(A296,7)</f>
        <v>PDAE014</v>
      </c>
      <c r="E296" s="0" t="str">
        <f aca="false">RIGHT(A296,5)</f>
        <v>B-0-N</v>
      </c>
      <c r="F296" s="0" t="s">
        <v>493</v>
      </c>
      <c r="G296" s="0" t="n">
        <v>1</v>
      </c>
      <c r="H296" s="0" t="n">
        <v>3</v>
      </c>
    </row>
    <row r="297" customFormat="false" ht="15" hidden="false" customHeight="true" outlineLevel="0" collapsed="false">
      <c r="A297" s="0" t="s">
        <v>541</v>
      </c>
      <c r="B297" s="0" t="n">
        <v>2</v>
      </c>
      <c r="C297" s="0" t="str">
        <f aca="false">MID(A297,2,3)</f>
        <v>DAF</v>
      </c>
      <c r="D297" s="0" t="str">
        <f aca="false">LEFT(A297,7)</f>
        <v>PDAF031</v>
      </c>
      <c r="E297" s="0" t="str">
        <f aca="false">RIGHT(A297,5)</f>
        <v>S-0-N</v>
      </c>
      <c r="F297" s="0" t="s">
        <v>493</v>
      </c>
      <c r="G297" s="0" t="n">
        <v>1</v>
      </c>
      <c r="H297" s="0" t="n">
        <v>1</v>
      </c>
    </row>
    <row r="298" customFormat="false" ht="15" hidden="false" customHeight="true" outlineLevel="0" collapsed="false">
      <c r="A298" s="0" t="s">
        <v>542</v>
      </c>
      <c r="B298" s="0" t="n">
        <v>2</v>
      </c>
      <c r="C298" s="0" t="str">
        <f aca="false">MID(A298,2,3)</f>
        <v>DAF</v>
      </c>
      <c r="D298" s="0" t="str">
        <f aca="false">LEFT(A298,7)</f>
        <v>PDAF032</v>
      </c>
      <c r="E298" s="0" t="str">
        <f aca="false">RIGHT(A298,5)</f>
        <v>B-0-N</v>
      </c>
      <c r="F298" s="0" t="s">
        <v>493</v>
      </c>
      <c r="G298" s="0" t="n">
        <v>1</v>
      </c>
      <c r="H298" s="0" t="n">
        <v>1</v>
      </c>
    </row>
    <row r="299" customFormat="false" ht="15" hidden="false" customHeight="true" outlineLevel="0" collapsed="false">
      <c r="A299" s="0" t="s">
        <v>543</v>
      </c>
      <c r="B299" s="0" t="n">
        <v>2</v>
      </c>
      <c r="C299" s="0" t="str">
        <f aca="false">MID(A299,2,3)</f>
        <v>IKA</v>
      </c>
      <c r="D299" s="0" t="str">
        <f aca="false">LEFT(A299,7)</f>
        <v>PIKA003</v>
      </c>
      <c r="E299" s="0" t="str">
        <f aca="false">RIGHT(A299,5)</f>
        <v>A-0-D</v>
      </c>
      <c r="F299" s="0" t="s">
        <v>493</v>
      </c>
      <c r="G299" s="0" t="n">
        <v>1</v>
      </c>
      <c r="H299" s="0" t="n">
        <v>1</v>
      </c>
    </row>
    <row r="300" customFormat="false" ht="15" hidden="false" customHeight="true" outlineLevel="0" collapsed="false">
      <c r="A300" s="0" t="s">
        <v>544</v>
      </c>
      <c r="B300" s="0" t="n">
        <v>2</v>
      </c>
      <c r="C300" s="0" t="str">
        <f aca="false">MID(A300,2,3)</f>
        <v>IKA</v>
      </c>
      <c r="D300" s="0" t="str">
        <f aca="false">LEFT(A300,7)</f>
        <v>PIKA003</v>
      </c>
      <c r="E300" s="0" t="str">
        <f aca="false">RIGHT(A300,5)</f>
        <v>S-0-N</v>
      </c>
      <c r="F300" s="0" t="s">
        <v>493</v>
      </c>
      <c r="G300" s="0" t="n">
        <v>1</v>
      </c>
      <c r="H300" s="0" t="n">
        <v>1</v>
      </c>
    </row>
    <row r="301" customFormat="false" ht="15" hidden="false" customHeight="true" outlineLevel="0" collapsed="false">
      <c r="A301" s="0" t="s">
        <v>545</v>
      </c>
      <c r="B301" s="0" t="n">
        <v>2</v>
      </c>
      <c r="C301" s="0" t="str">
        <f aca="false">MID(A301,2,3)</f>
        <v>IKA</v>
      </c>
      <c r="D301" s="0" t="str">
        <f aca="false">LEFT(A301,7)</f>
        <v>PIKA004</v>
      </c>
      <c r="E301" s="0" t="str">
        <f aca="false">RIGHT(A301,5)</f>
        <v>A-0-D</v>
      </c>
      <c r="F301" s="0" t="s">
        <v>493</v>
      </c>
      <c r="G301" s="0" t="n">
        <v>1</v>
      </c>
      <c r="H301" s="0" t="n">
        <v>1</v>
      </c>
    </row>
    <row r="302" customFormat="false" ht="15" hidden="false" customHeight="true" outlineLevel="0" collapsed="false">
      <c r="A302" s="0" t="s">
        <v>546</v>
      </c>
      <c r="B302" s="0" t="n">
        <v>2</v>
      </c>
      <c r="C302" s="0" t="str">
        <f aca="false">MID(A302,2,3)</f>
        <v>IKA</v>
      </c>
      <c r="D302" s="0" t="str">
        <f aca="false">LEFT(A302,7)</f>
        <v>PIKA004</v>
      </c>
      <c r="E302" s="0" t="str">
        <f aca="false">RIGHT(A302,5)</f>
        <v>S-0-C</v>
      </c>
      <c r="F302" s="0" t="s">
        <v>493</v>
      </c>
      <c r="G302" s="0" t="n">
        <v>1</v>
      </c>
      <c r="H302" s="0" t="n">
        <v>1</v>
      </c>
    </row>
    <row r="303" customFormat="false" ht="15" hidden="false" customHeight="true" outlineLevel="0" collapsed="false">
      <c r="A303" s="0" t="s">
        <v>547</v>
      </c>
      <c r="B303" s="0" t="n">
        <v>2</v>
      </c>
      <c r="C303" s="0" t="str">
        <f aca="false">MID(A303,2,3)</f>
        <v>IKA</v>
      </c>
      <c r="D303" s="0" t="str">
        <f aca="false">LEFT(A303,7)</f>
        <v>PIKA004</v>
      </c>
      <c r="E303" s="0" t="str">
        <f aca="false">RIGHT(A303,5)</f>
        <v>S-0-N</v>
      </c>
      <c r="F303" s="0" t="s">
        <v>493</v>
      </c>
      <c r="G303" s="0" t="n">
        <v>1</v>
      </c>
      <c r="H303" s="0" t="n">
        <v>1</v>
      </c>
    </row>
    <row r="304" customFormat="false" ht="15" hidden="false" customHeight="true" outlineLevel="0" collapsed="false">
      <c r="A304" s="0" t="s">
        <v>548</v>
      </c>
      <c r="B304" s="0" t="n">
        <v>2</v>
      </c>
      <c r="C304" s="0" t="str">
        <f aca="false">MID(A304,2,3)</f>
        <v>ISU</v>
      </c>
      <c r="D304" s="0" t="str">
        <f aca="false">LEFT(A304,7)</f>
        <v>PISU027</v>
      </c>
      <c r="E304" s="0" t="str">
        <f aca="false">RIGHT(A304,5)</f>
        <v>S-0-N</v>
      </c>
      <c r="F304" s="0" t="s">
        <v>493</v>
      </c>
      <c r="G304" s="0" t="n">
        <v>1</v>
      </c>
      <c r="H304" s="0" t="n">
        <v>1</v>
      </c>
    </row>
    <row r="305" customFormat="false" ht="15" hidden="false" customHeight="true" outlineLevel="0" collapsed="false">
      <c r="A305" s="0" t="s">
        <v>549</v>
      </c>
      <c r="B305" s="0" t="n">
        <v>2</v>
      </c>
      <c r="C305" s="0" t="str">
        <f aca="false">MID(A305,2,3)</f>
        <v>ISU</v>
      </c>
      <c r="D305" s="0" t="str">
        <f aca="false">LEFT(A305,7)</f>
        <v>PISU028</v>
      </c>
      <c r="E305" s="0" t="str">
        <f aca="false">RIGHT(A305,5)</f>
        <v>A-0-N</v>
      </c>
      <c r="F305" s="0" t="s">
        <v>493</v>
      </c>
      <c r="G305" s="0" t="n">
        <v>1</v>
      </c>
      <c r="H305" s="0" t="n">
        <v>1</v>
      </c>
    </row>
    <row r="306" customFormat="false" ht="15" hidden="false" customHeight="true" outlineLevel="0" collapsed="false">
      <c r="A306" s="0" t="s">
        <v>550</v>
      </c>
      <c r="B306" s="0" t="n">
        <v>2</v>
      </c>
      <c r="C306" s="0" t="str">
        <f aca="false">MID(A306,2,3)</f>
        <v>ISU</v>
      </c>
      <c r="D306" s="0" t="str">
        <f aca="false">LEFT(A306,7)</f>
        <v>PISU028</v>
      </c>
      <c r="E306" s="0" t="str">
        <f aca="false">RIGHT(A306,5)</f>
        <v>B-0-N</v>
      </c>
      <c r="F306" s="0" t="s">
        <v>493</v>
      </c>
      <c r="G306" s="0" t="n">
        <v>1</v>
      </c>
      <c r="H306" s="0" t="n">
        <v>1</v>
      </c>
    </row>
    <row r="307" customFormat="false" ht="15" hidden="false" customHeight="true" outlineLevel="0" collapsed="false">
      <c r="A307" s="0" t="s">
        <v>551</v>
      </c>
      <c r="B307" s="0" t="n">
        <v>2</v>
      </c>
      <c r="C307" s="0" t="str">
        <f aca="false">MID(A307,2,3)</f>
        <v>ISU</v>
      </c>
      <c r="D307" s="0" t="str">
        <f aca="false">LEFT(A307,7)</f>
        <v>PISU031</v>
      </c>
      <c r="E307" s="0" t="str">
        <f aca="false">RIGHT(A307,5)</f>
        <v>S-0-N</v>
      </c>
      <c r="F307" s="0" t="s">
        <v>493</v>
      </c>
      <c r="G307" s="0" t="n">
        <v>1</v>
      </c>
      <c r="H307" s="0" t="n">
        <v>1</v>
      </c>
    </row>
    <row r="308" customFormat="false" ht="15" hidden="false" customHeight="true" outlineLevel="0" collapsed="false">
      <c r="A308" s="0" t="s">
        <v>552</v>
      </c>
      <c r="B308" s="0" t="n">
        <v>2</v>
      </c>
      <c r="C308" s="0" t="str">
        <f aca="false">MID(A308,2,3)</f>
        <v>ISU</v>
      </c>
      <c r="D308" s="0" t="str">
        <f aca="false">LEFT(A308,7)</f>
        <v>PISU032</v>
      </c>
      <c r="E308" s="0" t="str">
        <f aca="false">RIGHT(A308,5)</f>
        <v>S-0-N</v>
      </c>
      <c r="F308" s="0" t="s">
        <v>493</v>
      </c>
      <c r="G308" s="0" t="n">
        <v>1</v>
      </c>
      <c r="H308" s="0" t="n">
        <v>1</v>
      </c>
    </row>
    <row r="309" customFormat="false" ht="15" hidden="false" customHeight="true" outlineLevel="0" collapsed="false">
      <c r="A309" s="0" t="s">
        <v>553</v>
      </c>
      <c r="B309" s="0" t="n">
        <v>2</v>
      </c>
      <c r="C309" s="0" t="str">
        <f aca="false">MID(A309,2,3)</f>
        <v>ISU</v>
      </c>
      <c r="D309" s="0" t="str">
        <f aca="false">LEFT(A309,7)</f>
        <v>PISU033</v>
      </c>
      <c r="E309" s="0" t="str">
        <f aca="false">RIGHT(A309,5)</f>
        <v>S-0-N</v>
      </c>
      <c r="F309" s="0" t="s">
        <v>493</v>
      </c>
      <c r="G309" s="0" t="n">
        <v>1</v>
      </c>
      <c r="H309" s="0" t="n">
        <v>1</v>
      </c>
    </row>
    <row r="310" customFormat="false" ht="15" hidden="false" customHeight="true" outlineLevel="0" collapsed="false">
      <c r="A310" s="0" t="s">
        <v>554</v>
      </c>
      <c r="B310" s="0" t="n">
        <v>2</v>
      </c>
      <c r="C310" s="0" t="str">
        <f aca="false">MID(A310,2,3)</f>
        <v>ISU</v>
      </c>
      <c r="D310" s="0" t="str">
        <f aca="false">LEFT(A310,7)</f>
        <v>PISU034</v>
      </c>
      <c r="E310" s="0" t="str">
        <f aca="false">RIGHT(A310,5)</f>
        <v>B-0-N</v>
      </c>
      <c r="F310" s="0" t="s">
        <v>493</v>
      </c>
      <c r="G310" s="0" t="n">
        <v>1</v>
      </c>
      <c r="H310" s="0" t="n">
        <v>1</v>
      </c>
    </row>
    <row r="311" customFormat="false" ht="15" hidden="false" customHeight="true" outlineLevel="0" collapsed="false">
      <c r="A311" s="0" t="s">
        <v>555</v>
      </c>
      <c r="B311" s="0" t="n">
        <v>2</v>
      </c>
      <c r="C311" s="0" t="str">
        <f aca="false">MID(A311,2,3)</f>
        <v>KAM</v>
      </c>
      <c r="D311" s="0" t="str">
        <f aca="false">LEFT(A311,7)</f>
        <v>PKAM001</v>
      </c>
      <c r="E311" s="0" t="str">
        <f aca="false">RIGHT(A311,5)</f>
        <v>S-0-H</v>
      </c>
      <c r="F311" s="0" t="s">
        <v>493</v>
      </c>
      <c r="G311" s="0" t="n">
        <v>1</v>
      </c>
      <c r="H311" s="0" t="n">
        <v>1</v>
      </c>
    </row>
    <row r="312" customFormat="false" ht="15" hidden="false" customHeight="true" outlineLevel="0" collapsed="false">
      <c r="A312" s="0" t="s">
        <v>556</v>
      </c>
      <c r="B312" s="0" t="n">
        <v>2</v>
      </c>
      <c r="C312" s="0" t="str">
        <f aca="false">MID(A312,2,3)</f>
        <v>KAM</v>
      </c>
      <c r="D312" s="0" t="str">
        <f aca="false">LEFT(A312,7)</f>
        <v>PKAM001</v>
      </c>
      <c r="E312" s="0" t="str">
        <f aca="false">RIGHT(A312,5)</f>
        <v>S-0-N</v>
      </c>
      <c r="F312" s="0" t="s">
        <v>493</v>
      </c>
      <c r="G312" s="0" t="n">
        <v>1</v>
      </c>
      <c r="H312" s="0" t="n">
        <v>1</v>
      </c>
    </row>
    <row r="313" customFormat="false" ht="15" hidden="false" customHeight="true" outlineLevel="0" collapsed="false">
      <c r="A313" s="0" t="s">
        <v>557</v>
      </c>
      <c r="B313" s="0" t="n">
        <v>2</v>
      </c>
      <c r="C313" s="0" t="str">
        <f aca="false">MID(A313,2,3)</f>
        <v>KAM</v>
      </c>
      <c r="D313" s="0" t="str">
        <f aca="false">LEFT(A313,7)</f>
        <v>PKAM002</v>
      </c>
      <c r="E313" s="0" t="str">
        <f aca="false">RIGHT(A313,5)</f>
        <v>B-0-H</v>
      </c>
      <c r="F313" s="0" t="s">
        <v>493</v>
      </c>
      <c r="G313" s="0" t="n">
        <v>1</v>
      </c>
      <c r="H313" s="0" t="n">
        <v>1</v>
      </c>
    </row>
    <row r="314" customFormat="false" ht="15" hidden="false" customHeight="true" outlineLevel="0" collapsed="false">
      <c r="A314" s="0" t="s">
        <v>558</v>
      </c>
      <c r="B314" s="0" t="n">
        <v>2</v>
      </c>
      <c r="C314" s="0" t="str">
        <f aca="false">MID(A314,2,3)</f>
        <v>KAM</v>
      </c>
      <c r="D314" s="0" t="str">
        <f aca="false">LEFT(A314,7)</f>
        <v>PKAM002</v>
      </c>
      <c r="E314" s="0" t="str">
        <f aca="false">RIGHT(A314,5)</f>
        <v>B-0-N</v>
      </c>
      <c r="F314" s="0" t="s">
        <v>493</v>
      </c>
      <c r="G314" s="0" t="n">
        <v>1</v>
      </c>
      <c r="H314" s="0" t="n">
        <v>1</v>
      </c>
    </row>
    <row r="315" customFormat="false" ht="15" hidden="false" customHeight="true" outlineLevel="0" collapsed="false">
      <c r="A315" s="0" t="s">
        <v>559</v>
      </c>
      <c r="B315" s="0" t="n">
        <v>2</v>
      </c>
      <c r="C315" s="0" t="str">
        <f aca="false">MID(A315,2,3)</f>
        <v>LAD</v>
      </c>
      <c r="D315" s="0" t="str">
        <f aca="false">LEFT(A315,7)</f>
        <v>PLAD001</v>
      </c>
      <c r="E315" s="0" t="str">
        <f aca="false">RIGHT(A315,5)</f>
        <v>S-0-D</v>
      </c>
      <c r="F315" s="0" t="s">
        <v>493</v>
      </c>
      <c r="G315" s="0" t="n">
        <v>1</v>
      </c>
      <c r="H315" s="0" t="n">
        <v>4</v>
      </c>
    </row>
    <row r="316" customFormat="false" ht="15" hidden="false" customHeight="true" outlineLevel="0" collapsed="false">
      <c r="A316" s="0" t="s">
        <v>560</v>
      </c>
      <c r="B316" s="0" t="n">
        <v>2</v>
      </c>
      <c r="C316" s="0" t="str">
        <f aca="false">MID(A316,2,3)</f>
        <v>LAD</v>
      </c>
      <c r="D316" s="0" t="str">
        <f aca="false">LEFT(A316,7)</f>
        <v>PLAD001</v>
      </c>
      <c r="E316" s="0" t="str">
        <f aca="false">RIGHT(A316,5)</f>
        <v>S-0-N</v>
      </c>
      <c r="F316" s="0" t="s">
        <v>493</v>
      </c>
      <c r="G316" s="0" t="n">
        <v>1</v>
      </c>
      <c r="H316" s="0" t="n">
        <v>4</v>
      </c>
    </row>
    <row r="317" customFormat="false" ht="15" hidden="false" customHeight="true" outlineLevel="0" collapsed="false">
      <c r="A317" s="0" t="s">
        <v>561</v>
      </c>
      <c r="B317" s="0" t="n">
        <v>2</v>
      </c>
      <c r="C317" s="0" t="str">
        <f aca="false">MID(A317,2,3)</f>
        <v>LAD</v>
      </c>
      <c r="D317" s="0" t="str">
        <f aca="false">LEFT(A317,7)</f>
        <v>PLAD002</v>
      </c>
      <c r="E317" s="0" t="str">
        <f aca="false">RIGHT(A317,5)</f>
        <v>A-0-D</v>
      </c>
      <c r="F317" s="0" t="s">
        <v>493</v>
      </c>
      <c r="G317" s="0" t="n">
        <v>1</v>
      </c>
      <c r="H317" s="0" t="n">
        <v>4</v>
      </c>
    </row>
    <row r="318" customFormat="false" ht="15" hidden="false" customHeight="true" outlineLevel="0" collapsed="false">
      <c r="A318" s="0" t="s">
        <v>562</v>
      </c>
      <c r="B318" s="0" t="n">
        <v>2</v>
      </c>
      <c r="C318" s="0" t="str">
        <f aca="false">MID(A318,2,3)</f>
        <v>LAD</v>
      </c>
      <c r="D318" s="0" t="str">
        <f aca="false">LEFT(A318,7)</f>
        <v>PLAD002</v>
      </c>
      <c r="E318" s="0" t="str">
        <f aca="false">RIGHT(A318,5)</f>
        <v>A-0-N</v>
      </c>
      <c r="F318" s="0" t="s">
        <v>493</v>
      </c>
      <c r="G318" s="0" t="n">
        <v>1</v>
      </c>
      <c r="H318" s="0" t="n">
        <v>4</v>
      </c>
    </row>
    <row r="319" customFormat="false" ht="15" hidden="false" customHeight="true" outlineLevel="0" collapsed="false">
      <c r="A319" s="0" t="s">
        <v>563</v>
      </c>
      <c r="B319" s="0" t="n">
        <v>2</v>
      </c>
      <c r="C319" s="0" t="str">
        <f aca="false">MID(A319,2,3)</f>
        <v>LAD</v>
      </c>
      <c r="D319" s="0" t="str">
        <f aca="false">LEFT(A319,7)</f>
        <v>PLAD003</v>
      </c>
      <c r="E319" s="0" t="str">
        <f aca="false">RIGHT(A319,5)</f>
        <v>S-0-D</v>
      </c>
      <c r="F319" s="0" t="s">
        <v>493</v>
      </c>
      <c r="G319" s="0" t="n">
        <v>1</v>
      </c>
      <c r="H319" s="0" t="n">
        <v>4</v>
      </c>
    </row>
    <row r="320" customFormat="false" ht="15" hidden="false" customHeight="true" outlineLevel="0" collapsed="false">
      <c r="A320" s="0" t="s">
        <v>564</v>
      </c>
      <c r="B320" s="0" t="n">
        <v>2</v>
      </c>
      <c r="C320" s="0" t="str">
        <f aca="false">MID(A320,2,3)</f>
        <v>LAD</v>
      </c>
      <c r="D320" s="0" t="str">
        <f aca="false">LEFT(A320,7)</f>
        <v>PLAD003</v>
      </c>
      <c r="E320" s="0" t="str">
        <f aca="false">RIGHT(A320,5)</f>
        <v>S-0-N</v>
      </c>
      <c r="F320" s="0" t="s">
        <v>493</v>
      </c>
      <c r="G320" s="0" t="n">
        <v>1</v>
      </c>
      <c r="H320" s="0" t="n">
        <v>4</v>
      </c>
    </row>
    <row r="321" customFormat="false" ht="15" hidden="false" customHeight="true" outlineLevel="0" collapsed="false">
      <c r="A321" s="0" t="s">
        <v>565</v>
      </c>
      <c r="B321" s="0" t="n">
        <v>2</v>
      </c>
      <c r="C321" s="0" t="str">
        <f aca="false">MID(A321,2,3)</f>
        <v>LAD</v>
      </c>
      <c r="D321" s="0" t="str">
        <f aca="false">LEFT(A321,7)</f>
        <v>PLAD004</v>
      </c>
      <c r="E321" s="0" t="str">
        <f aca="false">RIGHT(A321,5)</f>
        <v>A-0-D</v>
      </c>
      <c r="F321" s="0" t="s">
        <v>493</v>
      </c>
      <c r="G321" s="0" t="n">
        <v>1</v>
      </c>
      <c r="H321" s="0" t="n">
        <v>4</v>
      </c>
    </row>
    <row r="322" customFormat="false" ht="15" hidden="false" customHeight="true" outlineLevel="0" collapsed="false">
      <c r="A322" s="0" t="s">
        <v>566</v>
      </c>
      <c r="B322" s="0" t="n">
        <v>2</v>
      </c>
      <c r="C322" s="0" t="str">
        <f aca="false">MID(A322,2,3)</f>
        <v>LAD</v>
      </c>
      <c r="D322" s="0" t="str">
        <f aca="false">LEFT(A322,7)</f>
        <v>PLAD004</v>
      </c>
      <c r="E322" s="0" t="str">
        <f aca="false">RIGHT(A322,5)</f>
        <v>A-0-N</v>
      </c>
      <c r="F322" s="0" t="s">
        <v>493</v>
      </c>
      <c r="G322" s="0" t="n">
        <v>1</v>
      </c>
      <c r="H322" s="0" t="n">
        <v>4</v>
      </c>
    </row>
    <row r="323" customFormat="false" ht="15" hidden="false" customHeight="true" outlineLevel="0" collapsed="false">
      <c r="A323" s="0" t="s">
        <v>567</v>
      </c>
      <c r="B323" s="0" t="n">
        <v>2</v>
      </c>
      <c r="C323" s="0" t="str">
        <f aca="false">MID(A323,2,3)</f>
        <v>LAD</v>
      </c>
      <c r="D323" s="0" t="str">
        <f aca="false">LEFT(A323,7)</f>
        <v>PLAD005</v>
      </c>
      <c r="E323" s="0" t="str">
        <f aca="false">RIGHT(A323,5)</f>
        <v>S-0-D</v>
      </c>
      <c r="F323" s="0" t="s">
        <v>493</v>
      </c>
      <c r="G323" s="0" t="n">
        <v>1</v>
      </c>
      <c r="H323" s="0" t="n">
        <v>4</v>
      </c>
    </row>
    <row r="324" customFormat="false" ht="15" hidden="false" customHeight="true" outlineLevel="0" collapsed="false">
      <c r="A324" s="0" t="s">
        <v>568</v>
      </c>
      <c r="B324" s="0" t="n">
        <v>2</v>
      </c>
      <c r="C324" s="0" t="str">
        <f aca="false">MID(A324,2,3)</f>
        <v>LAD</v>
      </c>
      <c r="D324" s="0" t="str">
        <f aca="false">LEFT(A324,7)</f>
        <v>PLAD005</v>
      </c>
      <c r="E324" s="0" t="str">
        <f aca="false">RIGHT(A324,5)</f>
        <v>S-0-N</v>
      </c>
      <c r="F324" s="0" t="s">
        <v>493</v>
      </c>
      <c r="G324" s="0" t="n">
        <v>1</v>
      </c>
      <c r="H324" s="0" t="n">
        <v>4</v>
      </c>
    </row>
    <row r="325" customFormat="false" ht="15" hidden="false" customHeight="true" outlineLevel="0" collapsed="false">
      <c r="A325" s="0" t="s">
        <v>569</v>
      </c>
      <c r="B325" s="0" t="n">
        <v>2</v>
      </c>
      <c r="C325" s="0" t="str">
        <f aca="false">MID(A325,2,3)</f>
        <v>LAD</v>
      </c>
      <c r="D325" s="0" t="str">
        <f aca="false">LEFT(A325,7)</f>
        <v>PLAD006</v>
      </c>
      <c r="E325" s="0" t="str">
        <f aca="false">RIGHT(A325,5)</f>
        <v>S-0-D</v>
      </c>
      <c r="F325" s="0" t="s">
        <v>493</v>
      </c>
      <c r="G325" s="0" t="n">
        <v>1</v>
      </c>
      <c r="H325" s="0" t="n">
        <v>4</v>
      </c>
    </row>
    <row r="326" customFormat="false" ht="15" hidden="false" customHeight="true" outlineLevel="0" collapsed="false">
      <c r="A326" s="3" t="s">
        <v>570</v>
      </c>
      <c r="B326" s="0" t="n">
        <v>2</v>
      </c>
      <c r="C326" s="0" t="str">
        <f aca="false">MID(A326,2,3)</f>
        <v>LAD</v>
      </c>
      <c r="D326" s="0" t="str">
        <f aca="false">LEFT(A326,7)</f>
        <v>PLAD006</v>
      </c>
      <c r="E326" s="0" t="str">
        <f aca="false">RIGHT(A326,5)</f>
        <v>S-0-H</v>
      </c>
      <c r="F326" s="0" t="s">
        <v>493</v>
      </c>
      <c r="G326" s="0" t="n">
        <v>1</v>
      </c>
      <c r="H326" s="0" t="n">
        <v>4</v>
      </c>
    </row>
    <row r="327" customFormat="false" ht="15" hidden="false" customHeight="true" outlineLevel="0" collapsed="false">
      <c r="A327" s="0" t="s">
        <v>571</v>
      </c>
      <c r="B327" s="0" t="n">
        <v>2</v>
      </c>
      <c r="C327" s="0" t="str">
        <f aca="false">MID(A327,2,3)</f>
        <v>LAD</v>
      </c>
      <c r="D327" s="0" t="str">
        <f aca="false">LEFT(A327,7)</f>
        <v>PLAD006</v>
      </c>
      <c r="E327" s="0" t="str">
        <f aca="false">RIGHT(A327,5)</f>
        <v>S-0-N</v>
      </c>
      <c r="F327" s="0" t="s">
        <v>493</v>
      </c>
      <c r="G327" s="0" t="n">
        <v>1</v>
      </c>
      <c r="H327" s="0" t="n">
        <v>4</v>
      </c>
    </row>
    <row r="328" customFormat="false" ht="15" hidden="false" customHeight="true" outlineLevel="0" collapsed="false">
      <c r="A328" s="0" t="s">
        <v>572</v>
      </c>
      <c r="B328" s="0" t="n">
        <v>2</v>
      </c>
      <c r="C328" s="0" t="str">
        <f aca="false">MID(A328,2,3)</f>
        <v>LAD</v>
      </c>
      <c r="D328" s="0" t="str">
        <f aca="false">LEFT(A328,7)</f>
        <v>PLAD007</v>
      </c>
      <c r="E328" s="0" t="str">
        <f aca="false">RIGHT(A328,5)</f>
        <v>A-0-D</v>
      </c>
      <c r="F328" s="0" t="s">
        <v>493</v>
      </c>
      <c r="G328" s="0" t="n">
        <v>1</v>
      </c>
      <c r="H328" s="0" t="n">
        <v>4</v>
      </c>
    </row>
    <row r="329" customFormat="false" ht="15" hidden="false" customHeight="true" outlineLevel="0" collapsed="false">
      <c r="A329" s="0" t="s">
        <v>573</v>
      </c>
      <c r="B329" s="0" t="n">
        <v>2</v>
      </c>
      <c r="C329" s="0" t="str">
        <f aca="false">MID(A329,2,3)</f>
        <v>LAD</v>
      </c>
      <c r="D329" s="0" t="str">
        <f aca="false">LEFT(A329,7)</f>
        <v>PLAD007</v>
      </c>
      <c r="E329" s="0" t="str">
        <f aca="false">RIGHT(A329,5)</f>
        <v>A-0-N</v>
      </c>
      <c r="F329" s="0" t="s">
        <v>493</v>
      </c>
      <c r="G329" s="0" t="n">
        <v>1</v>
      </c>
      <c r="H329" s="0" t="n">
        <v>4</v>
      </c>
    </row>
    <row r="330" customFormat="false" ht="15" hidden="false" customHeight="true" outlineLevel="0" collapsed="false">
      <c r="A330" s="3" t="s">
        <v>574</v>
      </c>
      <c r="B330" s="0" t="n">
        <v>2</v>
      </c>
      <c r="C330" s="0" t="str">
        <f aca="false">MID(A330,2,3)</f>
        <v>LAD</v>
      </c>
      <c r="D330" s="0" t="str">
        <f aca="false">LEFT(A330,7)</f>
        <v>PLAD007</v>
      </c>
      <c r="E330" s="0" t="str">
        <f aca="false">RIGHT(A330,5)</f>
        <v>B-0-H</v>
      </c>
      <c r="F330" s="0" t="s">
        <v>493</v>
      </c>
      <c r="G330" s="0" t="n">
        <v>1</v>
      </c>
      <c r="H330" s="0" t="n">
        <v>4</v>
      </c>
    </row>
    <row r="331" customFormat="false" ht="15" hidden="false" customHeight="true" outlineLevel="0" collapsed="false">
      <c r="A331" s="0" t="s">
        <v>575</v>
      </c>
      <c r="B331" s="0" t="n">
        <v>2</v>
      </c>
      <c r="C331" s="0" t="str">
        <f aca="false">MID(A331,2,3)</f>
        <v>LAD</v>
      </c>
      <c r="D331" s="0" t="str">
        <f aca="false">LEFT(A331,7)</f>
        <v>PLAD025</v>
      </c>
      <c r="E331" s="0" t="str">
        <f aca="false">RIGHT(A331,5)</f>
        <v>S-0-N</v>
      </c>
      <c r="F331" s="0" t="s">
        <v>493</v>
      </c>
      <c r="G331" s="0" t="n">
        <v>1</v>
      </c>
      <c r="H331" s="0" t="n">
        <v>4</v>
      </c>
    </row>
    <row r="332" customFormat="false" ht="15" hidden="false" customHeight="true" outlineLevel="0" collapsed="false">
      <c r="A332" s="0" t="s">
        <v>576</v>
      </c>
      <c r="B332" s="0" t="n">
        <v>2</v>
      </c>
      <c r="C332" s="0" t="str">
        <f aca="false">MID(A332,2,3)</f>
        <v>LAD</v>
      </c>
      <c r="D332" s="0" t="str">
        <f aca="false">LEFT(A332,7)</f>
        <v>PLAD026</v>
      </c>
      <c r="E332" s="0" t="str">
        <f aca="false">RIGHT(A332,5)</f>
        <v>B-0-N</v>
      </c>
      <c r="F332" s="0" t="s">
        <v>493</v>
      </c>
      <c r="G332" s="0" t="n">
        <v>1</v>
      </c>
      <c r="H332" s="0" t="n">
        <v>4</v>
      </c>
    </row>
    <row r="333" customFormat="false" ht="15" hidden="false" customHeight="true" outlineLevel="0" collapsed="false">
      <c r="A333" s="3" t="s">
        <v>577</v>
      </c>
      <c r="B333" s="0" t="n">
        <v>2</v>
      </c>
      <c r="C333" s="0" t="str">
        <f aca="false">MID(A333,2,3)</f>
        <v>LAD</v>
      </c>
      <c r="D333" s="0" t="str">
        <f aca="false">LEFT(A333,7)</f>
        <v>PLAD030</v>
      </c>
      <c r="E333" s="0" t="str">
        <f aca="false">RIGHT(A333,5)</f>
        <v>S-0-H</v>
      </c>
      <c r="F333" s="0" t="s">
        <v>493</v>
      </c>
      <c r="G333" s="0" t="n">
        <v>1</v>
      </c>
      <c r="H333" s="0" t="n">
        <v>4</v>
      </c>
    </row>
    <row r="334" customFormat="false" ht="15" hidden="false" customHeight="true" outlineLevel="0" collapsed="false">
      <c r="A334" s="3" t="s">
        <v>578</v>
      </c>
      <c r="B334" s="0" t="n">
        <v>2</v>
      </c>
      <c r="C334" s="0" t="str">
        <f aca="false">MID(A334,2,3)</f>
        <v>LAD</v>
      </c>
      <c r="D334" s="0" t="str">
        <f aca="false">LEFT(A334,7)</f>
        <v>PLAD031</v>
      </c>
      <c r="E334" s="0" t="str">
        <f aca="false">RIGHT(A334,5)</f>
        <v>B-0-H</v>
      </c>
      <c r="F334" s="0" t="s">
        <v>493</v>
      </c>
      <c r="G334" s="0" t="n">
        <v>1</v>
      </c>
      <c r="H334" s="0" t="n">
        <v>4</v>
      </c>
    </row>
    <row r="335" customFormat="false" ht="15" hidden="false" customHeight="true" outlineLevel="0" collapsed="false">
      <c r="A335" s="0" t="s">
        <v>579</v>
      </c>
      <c r="B335" s="0" t="n">
        <v>2</v>
      </c>
      <c r="C335" s="0" t="str">
        <f aca="false">MID(A335,2,3)</f>
        <v>MAN</v>
      </c>
      <c r="D335" s="0" t="str">
        <f aca="false">LEFT(A335,7)</f>
        <v>PMAN032</v>
      </c>
      <c r="E335" s="0" t="str">
        <f aca="false">RIGHT(A335,5)</f>
        <v>B-0-N</v>
      </c>
      <c r="F335" s="0" t="s">
        <v>493</v>
      </c>
      <c r="G335" s="0" t="n">
        <v>1</v>
      </c>
      <c r="H335" s="0" t="n">
        <v>1</v>
      </c>
    </row>
    <row r="336" customFormat="false" ht="15" hidden="false" customHeight="true" outlineLevel="0" collapsed="false">
      <c r="A336" s="0" t="s">
        <v>580</v>
      </c>
      <c r="B336" s="0" t="n">
        <v>2</v>
      </c>
      <c r="C336" s="0" t="str">
        <f aca="false">MID(A336,2,3)</f>
        <v>MAN</v>
      </c>
      <c r="D336" s="0" t="str">
        <f aca="false">LEFT(A336,7)</f>
        <v>PMAN033</v>
      </c>
      <c r="E336" s="0" t="str">
        <f aca="false">RIGHT(A336,5)</f>
        <v>B-0-N</v>
      </c>
      <c r="F336" s="0" t="s">
        <v>493</v>
      </c>
      <c r="G336" s="0" t="n">
        <v>1</v>
      </c>
      <c r="H336" s="0" t="n">
        <v>1</v>
      </c>
    </row>
    <row r="337" customFormat="false" ht="15" hidden="false" customHeight="true" outlineLevel="0" collapsed="false">
      <c r="A337" s="0" t="s">
        <v>581</v>
      </c>
      <c r="B337" s="0" t="n">
        <v>2</v>
      </c>
      <c r="C337" s="0" t="str">
        <f aca="false">MID(A337,2,3)</f>
        <v>MER</v>
      </c>
      <c r="D337" s="0" t="str">
        <f aca="false">LEFT(A337,7)</f>
        <v>PMER023</v>
      </c>
      <c r="E337" s="0" t="str">
        <f aca="false">RIGHT(A337,5)</f>
        <v>B-0-N</v>
      </c>
      <c r="F337" s="0" t="s">
        <v>493</v>
      </c>
      <c r="G337" s="0" t="n">
        <v>1</v>
      </c>
      <c r="H337" s="0" t="n">
        <v>1</v>
      </c>
    </row>
    <row r="338" customFormat="false" ht="15" hidden="false" customHeight="true" outlineLevel="0" collapsed="false">
      <c r="A338" s="0" t="s">
        <v>582</v>
      </c>
      <c r="B338" s="0" t="n">
        <v>2</v>
      </c>
      <c r="C338" s="0" t="str">
        <f aca="false">MID(A338,2,3)</f>
        <v>MER</v>
      </c>
      <c r="D338" s="0" t="str">
        <f aca="false">LEFT(A338,7)</f>
        <v>PMER099</v>
      </c>
      <c r="E338" s="0" t="str">
        <f aca="false">RIGHT(A338,5)</f>
        <v>B-0-N</v>
      </c>
      <c r="F338" s="0" t="s">
        <v>493</v>
      </c>
      <c r="G338" s="0" t="n">
        <v>1</v>
      </c>
      <c r="H338" s="0" t="n">
        <v>1</v>
      </c>
    </row>
    <row r="339" customFormat="false" ht="15" hidden="false" customHeight="true" outlineLevel="0" collapsed="false">
      <c r="A339" s="0" t="s">
        <v>583</v>
      </c>
      <c r="B339" s="0" t="n">
        <v>2</v>
      </c>
      <c r="C339" s="0" t="str">
        <f aca="false">MID(A339,2,3)</f>
        <v>MOS</v>
      </c>
      <c r="D339" s="0" t="str">
        <f aca="false">LEFT(A339,7)</f>
        <v>PMOS001</v>
      </c>
      <c r="E339" s="0" t="str">
        <f aca="false">RIGHT(A339,5)</f>
        <v>S-0-D</v>
      </c>
      <c r="F339" s="0" t="s">
        <v>493</v>
      </c>
      <c r="G339" s="0" t="n">
        <v>1</v>
      </c>
      <c r="H339" s="0" t="n">
        <v>4</v>
      </c>
    </row>
    <row r="340" customFormat="false" ht="15" hidden="false" customHeight="true" outlineLevel="0" collapsed="false">
      <c r="A340" s="0" t="s">
        <v>584</v>
      </c>
      <c r="B340" s="0" t="n">
        <v>2</v>
      </c>
      <c r="C340" s="0" t="str">
        <f aca="false">MID(A340,2,3)</f>
        <v>MOS</v>
      </c>
      <c r="D340" s="0" t="str">
        <f aca="false">LEFT(A340,7)</f>
        <v>PMOS001</v>
      </c>
      <c r="E340" s="0" t="str">
        <f aca="false">RIGHT(A340,5)</f>
        <v>S-0-N</v>
      </c>
      <c r="F340" s="0" t="s">
        <v>493</v>
      </c>
      <c r="G340" s="0" t="n">
        <v>1</v>
      </c>
      <c r="H340" s="0" t="n">
        <v>4</v>
      </c>
    </row>
    <row r="341" customFormat="false" ht="15" hidden="false" customHeight="true" outlineLevel="0" collapsed="false">
      <c r="A341" s="0" t="s">
        <v>585</v>
      </c>
      <c r="B341" s="0" t="n">
        <v>2</v>
      </c>
      <c r="C341" s="0" t="str">
        <f aca="false">MID(A341,2,3)</f>
        <v>MOS</v>
      </c>
      <c r="D341" s="0" t="str">
        <f aca="false">LEFT(A341,7)</f>
        <v>PMOS002</v>
      </c>
      <c r="E341" s="0" t="str">
        <f aca="false">RIGHT(A341,5)</f>
        <v>A-0-D</v>
      </c>
      <c r="F341" s="0" t="s">
        <v>493</v>
      </c>
      <c r="G341" s="0" t="n">
        <v>1</v>
      </c>
      <c r="H341" s="0" t="n">
        <v>4</v>
      </c>
    </row>
    <row r="342" customFormat="false" ht="15" hidden="false" customHeight="true" outlineLevel="0" collapsed="false">
      <c r="A342" s="0" t="s">
        <v>586</v>
      </c>
      <c r="B342" s="0" t="n">
        <v>2</v>
      </c>
      <c r="C342" s="0" t="str">
        <f aca="false">MID(A342,2,3)</f>
        <v>MOS</v>
      </c>
      <c r="D342" s="0" t="str">
        <f aca="false">LEFT(A342,7)</f>
        <v>PMOS002</v>
      </c>
      <c r="E342" s="0" t="str">
        <f aca="false">RIGHT(A342,5)</f>
        <v>A-0-N</v>
      </c>
      <c r="F342" s="0" t="s">
        <v>493</v>
      </c>
      <c r="G342" s="0" t="n">
        <v>1</v>
      </c>
      <c r="H342" s="0" t="n">
        <v>4</v>
      </c>
    </row>
    <row r="343" customFormat="false" ht="15" hidden="false" customHeight="true" outlineLevel="0" collapsed="false">
      <c r="A343" s="0" t="s">
        <v>587</v>
      </c>
      <c r="B343" s="0" t="n">
        <v>2</v>
      </c>
      <c r="C343" s="0" t="str">
        <f aca="false">MID(A343,2,3)</f>
        <v>MTZ</v>
      </c>
      <c r="D343" s="0" t="str">
        <f aca="false">LEFT(A343,7)</f>
        <v>PMTZ001</v>
      </c>
      <c r="E343" s="0" t="str">
        <f aca="false">RIGHT(A343,5)</f>
        <v>S-0-D</v>
      </c>
      <c r="F343" s="0" t="s">
        <v>493</v>
      </c>
      <c r="G343" s="0" t="n">
        <v>1</v>
      </c>
      <c r="H343" s="0" t="n">
        <v>1</v>
      </c>
    </row>
    <row r="344" customFormat="false" ht="15" hidden="false" customHeight="true" outlineLevel="0" collapsed="false">
      <c r="A344" s="0" t="s">
        <v>588</v>
      </c>
      <c r="B344" s="0" t="n">
        <v>2</v>
      </c>
      <c r="C344" s="0" t="str">
        <f aca="false">MID(A344,2,3)</f>
        <v>MTZ</v>
      </c>
      <c r="D344" s="0" t="str">
        <f aca="false">LEFT(A344,7)</f>
        <v>PMTZ002</v>
      </c>
      <c r="E344" s="0" t="str">
        <f aca="false">RIGHT(A344,5)</f>
        <v>B-0-N</v>
      </c>
      <c r="F344" s="0" t="s">
        <v>493</v>
      </c>
      <c r="G344" s="0" t="n">
        <v>1</v>
      </c>
      <c r="H344" s="0" t="n">
        <v>1</v>
      </c>
    </row>
    <row r="345" customFormat="false" ht="15" hidden="false" customHeight="true" outlineLevel="0" collapsed="false">
      <c r="A345" s="0" t="s">
        <v>589</v>
      </c>
      <c r="B345" s="0" t="n">
        <v>2</v>
      </c>
      <c r="C345" s="0" t="str">
        <f aca="false">MID(A345,2,3)</f>
        <v>MTZ</v>
      </c>
      <c r="D345" s="0" t="str">
        <f aca="false">LEFT(A345,7)</f>
        <v>PMTZ002</v>
      </c>
      <c r="E345" s="0" t="str">
        <f aca="false">RIGHT(A345,5)</f>
        <v>S-0-D</v>
      </c>
      <c r="F345" s="0" t="s">
        <v>493</v>
      </c>
      <c r="G345" s="0" t="n">
        <v>1</v>
      </c>
      <c r="H345" s="0" t="n">
        <v>1</v>
      </c>
    </row>
    <row r="346" customFormat="false" ht="15" hidden="false" customHeight="true" outlineLevel="0" collapsed="false">
      <c r="A346" s="0" t="s">
        <v>590</v>
      </c>
      <c r="B346" s="0" t="n">
        <v>2</v>
      </c>
      <c r="C346" s="0" t="str">
        <f aca="false">MID(A346,2,3)</f>
        <v>MTZ</v>
      </c>
      <c r="D346" s="0" t="str">
        <f aca="false">LEFT(A346,7)</f>
        <v>PMTZ003</v>
      </c>
      <c r="E346" s="0" t="str">
        <f aca="false">RIGHT(A346,5)</f>
        <v>S-0-N</v>
      </c>
      <c r="F346" s="0" t="s">
        <v>493</v>
      </c>
      <c r="G346" s="0" t="n">
        <v>1</v>
      </c>
      <c r="H346" s="0" t="n">
        <v>1</v>
      </c>
    </row>
    <row r="347" customFormat="false" ht="15" hidden="false" customHeight="true" outlineLevel="0" collapsed="false">
      <c r="A347" s="0" t="s">
        <v>591</v>
      </c>
      <c r="B347" s="0" t="n">
        <v>2</v>
      </c>
      <c r="C347" s="0" t="str">
        <f aca="false">MID(A347,2,3)</f>
        <v>OPE</v>
      </c>
      <c r="D347" s="0" t="str">
        <f aca="false">LEFT(A347,7)</f>
        <v>POPE115</v>
      </c>
      <c r="E347" s="0" t="str">
        <f aca="false">RIGHT(A347,5)</f>
        <v>S-0-N</v>
      </c>
      <c r="F347" s="0" t="s">
        <v>493</v>
      </c>
      <c r="G347" s="0" t="n">
        <v>1</v>
      </c>
      <c r="H347" s="0" t="n">
        <v>1</v>
      </c>
    </row>
    <row r="348" customFormat="false" ht="15" hidden="false" customHeight="true" outlineLevel="0" collapsed="false">
      <c r="A348" s="0" t="s">
        <v>592</v>
      </c>
      <c r="B348" s="0" t="n">
        <v>2</v>
      </c>
      <c r="C348" s="0" t="str">
        <f aca="false">MID(A348,2,3)</f>
        <v>OPE</v>
      </c>
      <c r="D348" s="0" t="str">
        <f aca="false">LEFT(A348,7)</f>
        <v>POPE116</v>
      </c>
      <c r="E348" s="0" t="str">
        <f aca="false">RIGHT(A348,5)</f>
        <v>A-0-N</v>
      </c>
      <c r="F348" s="0" t="s">
        <v>493</v>
      </c>
      <c r="G348" s="0" t="n">
        <v>1</v>
      </c>
      <c r="H348" s="0" t="n">
        <v>1</v>
      </c>
    </row>
    <row r="349" customFormat="false" ht="15" hidden="false" customHeight="true" outlineLevel="0" collapsed="false">
      <c r="A349" s="0" t="s">
        <v>593</v>
      </c>
      <c r="B349" s="0" t="n">
        <v>2</v>
      </c>
      <c r="C349" s="0" t="str">
        <f aca="false">MID(A349,2,3)</f>
        <v>REN</v>
      </c>
      <c r="D349" s="0" t="str">
        <f aca="false">LEFT(A349,7)</f>
        <v>PREN001</v>
      </c>
      <c r="E349" s="0" t="str">
        <f aca="false">RIGHT(A349,5)</f>
        <v>S-0-D</v>
      </c>
      <c r="F349" s="0" t="s">
        <v>493</v>
      </c>
      <c r="G349" s="0" t="n">
        <v>1</v>
      </c>
      <c r="H349" s="0" t="n">
        <v>4</v>
      </c>
    </row>
    <row r="350" customFormat="false" ht="15" hidden="false" customHeight="true" outlineLevel="0" collapsed="false">
      <c r="A350" s="0" t="s">
        <v>594</v>
      </c>
      <c r="B350" s="0" t="n">
        <v>2</v>
      </c>
      <c r="C350" s="0" t="str">
        <f aca="false">MID(A350,2,3)</f>
        <v>REN</v>
      </c>
      <c r="D350" s="0" t="str">
        <f aca="false">LEFT(A350,7)</f>
        <v>PREN001</v>
      </c>
      <c r="E350" s="0" t="str">
        <f aca="false">RIGHT(A350,5)</f>
        <v>S-0-N</v>
      </c>
      <c r="F350" s="0" t="s">
        <v>493</v>
      </c>
      <c r="G350" s="0" t="n">
        <v>1</v>
      </c>
      <c r="H350" s="0" t="n">
        <v>4</v>
      </c>
    </row>
    <row r="351" customFormat="false" ht="15" hidden="false" customHeight="true" outlineLevel="0" collapsed="false">
      <c r="A351" s="0" t="s">
        <v>595</v>
      </c>
      <c r="B351" s="0" t="n">
        <v>2</v>
      </c>
      <c r="C351" s="0" t="str">
        <f aca="false">MID(A351,2,3)</f>
        <v>REN</v>
      </c>
      <c r="D351" s="0" t="str">
        <f aca="false">LEFT(A351,7)</f>
        <v>PREN002</v>
      </c>
      <c r="E351" s="0" t="str">
        <f aca="false">RIGHT(A351,5)</f>
        <v>A-0-D</v>
      </c>
      <c r="F351" s="0" t="s">
        <v>493</v>
      </c>
      <c r="G351" s="0" t="n">
        <v>1</v>
      </c>
      <c r="H351" s="0" t="n">
        <v>4</v>
      </c>
    </row>
    <row r="352" customFormat="false" ht="15" hidden="false" customHeight="true" outlineLevel="0" collapsed="false">
      <c r="A352" s="0" t="s">
        <v>596</v>
      </c>
      <c r="B352" s="0" t="n">
        <v>2</v>
      </c>
      <c r="C352" s="0" t="str">
        <f aca="false">MID(A352,2,3)</f>
        <v>REN</v>
      </c>
      <c r="D352" s="0" t="str">
        <f aca="false">LEFT(A352,7)</f>
        <v>PREN002</v>
      </c>
      <c r="E352" s="0" t="str">
        <f aca="false">RIGHT(A352,5)</f>
        <v>A-0-N</v>
      </c>
      <c r="F352" s="0" t="s">
        <v>493</v>
      </c>
      <c r="G352" s="0" t="n">
        <v>1</v>
      </c>
      <c r="H352" s="0" t="n">
        <v>4</v>
      </c>
    </row>
    <row r="353" customFormat="false" ht="15" hidden="false" customHeight="true" outlineLevel="0" collapsed="false">
      <c r="A353" s="0" t="s">
        <v>597</v>
      </c>
      <c r="B353" s="0" t="n">
        <v>2</v>
      </c>
      <c r="C353" s="0" t="str">
        <f aca="false">MID(A353,2,3)</f>
        <v>REN</v>
      </c>
      <c r="D353" s="0" t="str">
        <f aca="false">LEFT(A353,7)</f>
        <v>PREN018</v>
      </c>
      <c r="E353" s="0" t="str">
        <f aca="false">RIGHT(A353,5)</f>
        <v>S-0-0</v>
      </c>
      <c r="F353" s="0" t="s">
        <v>493</v>
      </c>
      <c r="G353" s="0" t="n">
        <v>1</v>
      </c>
      <c r="H353" s="0" t="n">
        <v>4</v>
      </c>
    </row>
    <row r="354" customFormat="false" ht="15" hidden="false" customHeight="true" outlineLevel="0" collapsed="false">
      <c r="A354" s="0" t="s">
        <v>598</v>
      </c>
      <c r="B354" s="0" t="n">
        <v>2</v>
      </c>
      <c r="C354" s="0" t="str">
        <f aca="false">MID(A354,2,3)</f>
        <v>REN</v>
      </c>
      <c r="D354" s="0" t="str">
        <f aca="false">LEFT(A354,7)</f>
        <v>PREN018</v>
      </c>
      <c r="E354" s="0" t="str">
        <f aca="false">RIGHT(A354,5)</f>
        <v>S-0-N</v>
      </c>
      <c r="F354" s="0" t="s">
        <v>493</v>
      </c>
      <c r="G354" s="0" t="n">
        <v>1</v>
      </c>
      <c r="H354" s="0" t="n">
        <v>4</v>
      </c>
    </row>
    <row r="355" customFormat="false" ht="15" hidden="false" customHeight="true" outlineLevel="0" collapsed="false">
      <c r="A355" s="0" t="s">
        <v>599</v>
      </c>
      <c r="B355" s="0" t="n">
        <v>2</v>
      </c>
      <c r="C355" s="0" t="str">
        <f aca="false">MID(A355,2,3)</f>
        <v>REN</v>
      </c>
      <c r="D355" s="0" t="str">
        <f aca="false">LEFT(A355,7)</f>
        <v>PREN019</v>
      </c>
      <c r="E355" s="0" t="str">
        <f aca="false">RIGHT(A355,5)</f>
        <v>A-0-0</v>
      </c>
      <c r="F355" s="0" t="s">
        <v>493</v>
      </c>
      <c r="G355" s="0" t="n">
        <v>1</v>
      </c>
      <c r="H355" s="0" t="n">
        <v>4</v>
      </c>
    </row>
    <row r="356" customFormat="false" ht="15" hidden="false" customHeight="true" outlineLevel="0" collapsed="false">
      <c r="A356" s="0" t="s">
        <v>600</v>
      </c>
      <c r="B356" s="0" t="n">
        <v>2</v>
      </c>
      <c r="C356" s="0" t="str">
        <f aca="false">MID(A356,2,3)</f>
        <v>REN</v>
      </c>
      <c r="D356" s="0" t="str">
        <f aca="false">LEFT(A356,7)</f>
        <v>PREN019</v>
      </c>
      <c r="E356" s="0" t="str">
        <f aca="false">RIGHT(A356,5)</f>
        <v>A-0-N</v>
      </c>
      <c r="F356" s="0" t="s">
        <v>493</v>
      </c>
      <c r="G356" s="0" t="n">
        <v>1</v>
      </c>
      <c r="H356" s="0" t="n">
        <v>4</v>
      </c>
    </row>
    <row r="357" customFormat="false" ht="15" hidden="false" customHeight="true" outlineLevel="0" collapsed="false">
      <c r="A357" s="0" t="s">
        <v>601</v>
      </c>
      <c r="B357" s="0" t="n">
        <v>2</v>
      </c>
      <c r="C357" s="0" t="str">
        <f aca="false">MID(A357,2,3)</f>
        <v>SCA</v>
      </c>
      <c r="D357" s="0" t="str">
        <f aca="false">LEFT(A357,7)</f>
        <v>PSCA016</v>
      </c>
      <c r="E357" s="0" t="str">
        <f aca="false">RIGHT(A357,5)</f>
        <v>B-0-N</v>
      </c>
      <c r="F357" s="0" t="s">
        <v>493</v>
      </c>
      <c r="G357" s="0" t="n">
        <v>1</v>
      </c>
      <c r="H357" s="0" t="n">
        <v>1</v>
      </c>
    </row>
    <row r="358" customFormat="false" ht="15" hidden="false" customHeight="true" outlineLevel="0" collapsed="false">
      <c r="A358" s="0" t="s">
        <v>602</v>
      </c>
      <c r="B358" s="0" t="n">
        <v>2</v>
      </c>
      <c r="C358" s="0" t="str">
        <f aca="false">MID(A358,2,3)</f>
        <v>SMD</v>
      </c>
      <c r="D358" s="0" t="str">
        <f aca="false">LEFT(A358,7)</f>
        <v>PSMD001</v>
      </c>
      <c r="E358" s="0" t="str">
        <f aca="false">RIGHT(A358,5)</f>
        <v>S-0-D</v>
      </c>
      <c r="F358" s="0" t="s">
        <v>493</v>
      </c>
      <c r="G358" s="0" t="n">
        <v>1</v>
      </c>
      <c r="H358" s="0" t="n">
        <v>1</v>
      </c>
    </row>
    <row r="359" customFormat="false" ht="15" hidden="false" customHeight="true" outlineLevel="0" collapsed="false">
      <c r="A359" s="0" t="s">
        <v>603</v>
      </c>
      <c r="B359" s="0" t="n">
        <v>2</v>
      </c>
      <c r="C359" s="0" t="str">
        <f aca="false">MID(A359,2,3)</f>
        <v>SMD</v>
      </c>
      <c r="D359" s="0" t="str">
        <f aca="false">LEFT(A359,7)</f>
        <v>PSMD002</v>
      </c>
      <c r="E359" s="0" t="str">
        <f aca="false">RIGHT(A359,5)</f>
        <v>S-0-D</v>
      </c>
      <c r="F359" s="0" t="s">
        <v>493</v>
      </c>
      <c r="G359" s="0" t="n">
        <v>1</v>
      </c>
      <c r="H359" s="0" t="n">
        <v>1</v>
      </c>
    </row>
    <row r="360" customFormat="false" ht="15" hidden="false" customHeight="true" outlineLevel="0" collapsed="false">
      <c r="A360" s="0" t="s">
        <v>604</v>
      </c>
      <c r="B360" s="0" t="n">
        <v>2</v>
      </c>
      <c r="C360" s="0" t="str">
        <f aca="false">MID(A360,2,3)</f>
        <v>SPE</v>
      </c>
      <c r="D360" s="0" t="str">
        <f aca="false">LEFT(A360,7)</f>
        <v>PSPE001</v>
      </c>
      <c r="E360" s="0" t="str">
        <f aca="false">RIGHT(A360,5)</f>
        <v>S-0-D</v>
      </c>
      <c r="F360" s="0" t="s">
        <v>493</v>
      </c>
      <c r="G360" s="0" t="n">
        <v>1</v>
      </c>
      <c r="H360" s="0" t="n">
        <v>1</v>
      </c>
    </row>
    <row r="361" customFormat="false" ht="15" hidden="false" customHeight="true" outlineLevel="0" collapsed="false">
      <c r="A361" s="0" t="s">
        <v>605</v>
      </c>
      <c r="B361" s="0" t="n">
        <v>2</v>
      </c>
      <c r="C361" s="0" t="str">
        <f aca="false">MID(A361,2,3)</f>
        <v>SPE</v>
      </c>
      <c r="D361" s="0" t="str">
        <f aca="false">LEFT(A361,7)</f>
        <v>PSPE002</v>
      </c>
      <c r="E361" s="0" t="str">
        <f aca="false">RIGHT(A361,5)</f>
        <v>A-0-D</v>
      </c>
      <c r="F361" s="0" t="s">
        <v>493</v>
      </c>
      <c r="G361" s="0" t="n">
        <v>1</v>
      </c>
      <c r="H361" s="0" t="n">
        <v>1</v>
      </c>
    </row>
    <row r="362" customFormat="false" ht="15" hidden="false" customHeight="true" outlineLevel="0" collapsed="false">
      <c r="A362" s="0" t="s">
        <v>606</v>
      </c>
      <c r="B362" s="0" t="n">
        <v>2</v>
      </c>
      <c r="C362" s="0" t="str">
        <f aca="false">MID(A362,2,3)</f>
        <v>TMZ</v>
      </c>
      <c r="D362" s="0" t="str">
        <f aca="false">LEFT(A362,7)</f>
        <v>PTMZ002</v>
      </c>
      <c r="E362" s="0" t="str">
        <f aca="false">RIGHT(A362,5)</f>
        <v>B-0-N</v>
      </c>
      <c r="F362" s="0" t="s">
        <v>493</v>
      </c>
      <c r="G362" s="0" t="n">
        <v>1</v>
      </c>
      <c r="H362" s="0" t="n">
        <v>1</v>
      </c>
    </row>
    <row r="363" customFormat="false" ht="15" hidden="false" customHeight="true" outlineLevel="0" collapsed="false">
      <c r="A363" s="0" t="s">
        <v>607</v>
      </c>
      <c r="B363" s="0" t="n">
        <v>2</v>
      </c>
      <c r="C363" s="0" t="str">
        <f aca="false">MID(A363,2,3)</f>
        <v>TMZ</v>
      </c>
      <c r="D363" s="0" t="str">
        <f aca="false">LEFT(A363,7)</f>
        <v>PTMZ003</v>
      </c>
      <c r="E363" s="0" t="str">
        <f aca="false">RIGHT(A363,5)</f>
        <v>B-P-N</v>
      </c>
      <c r="F363" s="0" t="s">
        <v>493</v>
      </c>
      <c r="G363" s="0" t="n">
        <v>1</v>
      </c>
      <c r="H363" s="2" t="n">
        <v>1</v>
      </c>
    </row>
    <row r="364" customFormat="false" ht="15" hidden="false" customHeight="true" outlineLevel="0" collapsed="false">
      <c r="A364" s="0" t="s">
        <v>608</v>
      </c>
      <c r="B364" s="0" t="n">
        <v>2</v>
      </c>
      <c r="C364" s="0" t="str">
        <f aca="false">MID(A364,2,3)</f>
        <v>UAZ</v>
      </c>
      <c r="D364" s="0" t="str">
        <f aca="false">LEFT(A364,7)</f>
        <v>PUAZ001</v>
      </c>
      <c r="E364" s="0" t="str">
        <f aca="false">RIGHT(A364,5)</f>
        <v>S-0-D</v>
      </c>
      <c r="F364" s="0" t="s">
        <v>493</v>
      </c>
      <c r="G364" s="0" t="n">
        <v>1</v>
      </c>
      <c r="H364" s="0" t="n">
        <v>4</v>
      </c>
    </row>
    <row r="365" customFormat="false" ht="15" hidden="false" customHeight="true" outlineLevel="0" collapsed="false">
      <c r="A365" s="0" t="s">
        <v>609</v>
      </c>
      <c r="B365" s="0" t="n">
        <v>2</v>
      </c>
      <c r="C365" s="0" t="str">
        <f aca="false">MID(A365,2,3)</f>
        <v>UAZ</v>
      </c>
      <c r="D365" s="0" t="str">
        <f aca="false">LEFT(A365,7)</f>
        <v>PUAZ001</v>
      </c>
      <c r="E365" s="0" t="str">
        <f aca="false">RIGHT(A365,5)</f>
        <v>S-0-N</v>
      </c>
      <c r="F365" s="0" t="s">
        <v>493</v>
      </c>
      <c r="G365" s="0" t="n">
        <v>1</v>
      </c>
      <c r="H365" s="0" t="n">
        <v>4</v>
      </c>
    </row>
    <row r="366" customFormat="false" ht="15" hidden="false" customHeight="true" outlineLevel="0" collapsed="false">
      <c r="A366" s="0" t="s">
        <v>610</v>
      </c>
      <c r="B366" s="0" t="n">
        <v>2</v>
      </c>
      <c r="C366" s="0" t="str">
        <f aca="false">MID(A366,2,3)</f>
        <v>UAZ</v>
      </c>
      <c r="D366" s="0" t="str">
        <f aca="false">LEFT(A366,7)</f>
        <v>PUAZ002</v>
      </c>
      <c r="E366" s="0" t="str">
        <f aca="false">RIGHT(A366,5)</f>
        <v>A-0-D</v>
      </c>
      <c r="F366" s="0" t="s">
        <v>493</v>
      </c>
      <c r="G366" s="0" t="n">
        <v>1</v>
      </c>
      <c r="H366" s="0" t="n">
        <v>4</v>
      </c>
    </row>
    <row r="367" customFormat="false" ht="15" hidden="false" customHeight="true" outlineLevel="0" collapsed="false">
      <c r="A367" s="0" t="s">
        <v>611</v>
      </c>
      <c r="B367" s="0" t="n">
        <v>2</v>
      </c>
      <c r="C367" s="0" t="str">
        <f aca="false">MID(A367,2,3)</f>
        <v>UAZ</v>
      </c>
      <c r="D367" s="0" t="str">
        <f aca="false">LEFT(A367,7)</f>
        <v>PUAZ002</v>
      </c>
      <c r="E367" s="0" t="str">
        <f aca="false">RIGHT(A367,5)</f>
        <v>A-0-N</v>
      </c>
      <c r="F367" s="0" t="s">
        <v>493</v>
      </c>
      <c r="G367" s="0" t="n">
        <v>1</v>
      </c>
      <c r="H367" s="0" t="n">
        <v>4</v>
      </c>
    </row>
    <row r="368" customFormat="false" ht="15" hidden="false" customHeight="true" outlineLevel="0" collapsed="false">
      <c r="A368" s="0" t="s">
        <v>612</v>
      </c>
      <c r="B368" s="0" t="n">
        <v>2</v>
      </c>
      <c r="C368" s="0" t="str">
        <f aca="false">MID(A368,2,3)</f>
        <v>WLA</v>
      </c>
      <c r="D368" s="0" t="str">
        <f aca="false">LEFT(A368,7)</f>
        <v>PWLA001</v>
      </c>
      <c r="E368" s="0" t="str">
        <f aca="false">RIGHT(A368,5)</f>
        <v>S-0-0</v>
      </c>
      <c r="F368" s="0" t="s">
        <v>493</v>
      </c>
      <c r="G368" s="0" t="n">
        <v>1</v>
      </c>
      <c r="H368" s="0" t="n">
        <v>1</v>
      </c>
    </row>
    <row r="369" customFormat="false" ht="15" hidden="false" customHeight="true" outlineLevel="0" collapsed="false">
      <c r="A369" s="0" t="s">
        <v>613</v>
      </c>
      <c r="B369" s="0" t="n">
        <v>2</v>
      </c>
      <c r="C369" s="0" t="str">
        <f aca="false">MID(A369,2,3)</f>
        <v>WLA</v>
      </c>
      <c r="D369" s="0" t="str">
        <f aca="false">LEFT(A369,7)</f>
        <v>PWLA002</v>
      </c>
      <c r="E369" s="0" t="str">
        <f aca="false">RIGHT(A369,5)</f>
        <v>S-0-0</v>
      </c>
      <c r="F369" s="0" t="s">
        <v>493</v>
      </c>
      <c r="G369" s="0" t="n">
        <v>1</v>
      </c>
      <c r="H369" s="0" t="n">
        <v>1</v>
      </c>
    </row>
    <row r="370" customFormat="false" ht="15" hidden="false" customHeight="true" outlineLevel="0" collapsed="false">
      <c r="A370" s="0" t="s">
        <v>614</v>
      </c>
      <c r="B370" s="0" t="n">
        <v>2</v>
      </c>
      <c r="C370" s="0" t="str">
        <f aca="false">MID(A370,2,3)</f>
        <v>WOL</v>
      </c>
      <c r="D370" s="0" t="str">
        <f aca="false">LEFT(A370,7)</f>
        <v>PWOL001</v>
      </c>
      <c r="E370" s="0" t="str">
        <f aca="false">RIGHT(A370,5)</f>
        <v>S-0-D</v>
      </c>
      <c r="F370" s="0" t="s">
        <v>493</v>
      </c>
      <c r="G370" s="0" t="n">
        <v>1</v>
      </c>
      <c r="H370" s="2" t="n">
        <v>4</v>
      </c>
    </row>
    <row r="371" customFormat="false" ht="15" hidden="false" customHeight="true" outlineLevel="0" collapsed="false">
      <c r="A371" s="0" t="s">
        <v>615</v>
      </c>
      <c r="B371" s="0" t="n">
        <v>2</v>
      </c>
      <c r="C371" s="0" t="str">
        <f aca="false">MID(A371,2,3)</f>
        <v>WOL</v>
      </c>
      <c r="D371" s="0" t="str">
        <f aca="false">LEFT(A371,7)</f>
        <v>PWOL001</v>
      </c>
      <c r="E371" s="0" t="str">
        <f aca="false">RIGHT(A371,5)</f>
        <v>S-0-N</v>
      </c>
      <c r="F371" s="0" t="s">
        <v>493</v>
      </c>
      <c r="G371" s="0" t="n">
        <v>1</v>
      </c>
      <c r="H371" s="2" t="n">
        <v>4</v>
      </c>
    </row>
    <row r="372" customFormat="false" ht="15" hidden="false" customHeight="true" outlineLevel="0" collapsed="false">
      <c r="A372" s="0" t="s">
        <v>616</v>
      </c>
      <c r="B372" s="0" t="n">
        <v>2</v>
      </c>
      <c r="C372" s="0" t="str">
        <f aca="false">MID(A372,2,3)</f>
        <v>WOL</v>
      </c>
      <c r="D372" s="0" t="str">
        <f aca="false">LEFT(A372,7)</f>
        <v>PWOL002</v>
      </c>
      <c r="E372" s="0" t="str">
        <f aca="false">RIGHT(A372,5)</f>
        <v>A-0-D</v>
      </c>
      <c r="F372" s="0" t="s">
        <v>493</v>
      </c>
      <c r="G372" s="0" t="n">
        <v>1</v>
      </c>
      <c r="H372" s="0" t="n">
        <v>4</v>
      </c>
    </row>
    <row r="373" customFormat="false" ht="15" hidden="false" customHeight="true" outlineLevel="0" collapsed="false">
      <c r="A373" s="0" t="s">
        <v>617</v>
      </c>
      <c r="B373" s="0" t="n">
        <v>2</v>
      </c>
      <c r="C373" s="0" t="str">
        <f aca="false">MID(A373,2,3)</f>
        <v>WOL</v>
      </c>
      <c r="D373" s="0" t="str">
        <f aca="false">LEFT(A373,7)</f>
        <v>PWOL002</v>
      </c>
      <c r="E373" s="0" t="str">
        <f aca="false">RIGHT(A373,5)</f>
        <v>A-0-N</v>
      </c>
      <c r="F373" s="0" t="s">
        <v>493</v>
      </c>
      <c r="G373" s="0" t="n">
        <v>1</v>
      </c>
      <c r="H373" s="2" t="n">
        <v>4</v>
      </c>
    </row>
    <row r="374" customFormat="false" ht="15" hidden="false" customHeight="true" outlineLevel="0" collapsed="false">
      <c r="A374" s="0" t="s">
        <v>618</v>
      </c>
      <c r="B374" s="0" t="n">
        <v>2</v>
      </c>
      <c r="C374" s="0" t="str">
        <f aca="false">MID(A374,2,3)</f>
        <v>WOL</v>
      </c>
      <c r="D374" s="0" t="str">
        <f aca="false">LEFT(A374,7)</f>
        <v>PWOL003</v>
      </c>
      <c r="E374" s="0" t="str">
        <f aca="false">RIGHT(A374,5)</f>
        <v>S-0-D</v>
      </c>
      <c r="F374" s="0" t="s">
        <v>493</v>
      </c>
      <c r="G374" s="0" t="n">
        <v>1</v>
      </c>
      <c r="H374" s="0" t="n">
        <v>4</v>
      </c>
    </row>
    <row r="375" customFormat="false" ht="15" hidden="false" customHeight="true" outlineLevel="0" collapsed="false">
      <c r="A375" s="0" t="s">
        <v>619</v>
      </c>
      <c r="B375" s="0" t="n">
        <v>2</v>
      </c>
      <c r="C375" s="0" t="str">
        <f aca="false">MID(A375,2,3)</f>
        <v>WOL</v>
      </c>
      <c r="D375" s="0" t="str">
        <f aca="false">LEFT(A375,7)</f>
        <v>PWOL003</v>
      </c>
      <c r="E375" s="0" t="str">
        <f aca="false">RIGHT(A375,5)</f>
        <v>S-0-N</v>
      </c>
      <c r="F375" s="0" t="s">
        <v>493</v>
      </c>
      <c r="G375" s="0" t="n">
        <v>1</v>
      </c>
      <c r="H375" s="0" t="n">
        <v>4</v>
      </c>
    </row>
    <row r="376" customFormat="false" ht="15" hidden="false" customHeight="true" outlineLevel="0" collapsed="false">
      <c r="A376" s="0" t="s">
        <v>620</v>
      </c>
      <c r="B376" s="0" t="n">
        <v>2</v>
      </c>
      <c r="C376" s="0" t="str">
        <f aca="false">MID(A376,2,3)</f>
        <v>WOL</v>
      </c>
      <c r="D376" s="0" t="str">
        <f aca="false">LEFT(A376,7)</f>
        <v>PWOL004</v>
      </c>
      <c r="E376" s="0" t="str">
        <f aca="false">RIGHT(A376,5)</f>
        <v>A-0-D</v>
      </c>
      <c r="F376" s="0" t="s">
        <v>493</v>
      </c>
      <c r="G376" s="0" t="n">
        <v>1</v>
      </c>
      <c r="H376" s="0" t="n">
        <v>4</v>
      </c>
    </row>
    <row r="377" customFormat="false" ht="15" hidden="false" customHeight="true" outlineLevel="0" collapsed="false">
      <c r="A377" s="0" t="s">
        <v>621</v>
      </c>
      <c r="B377" s="0" t="n">
        <v>2</v>
      </c>
      <c r="C377" s="0" t="str">
        <f aca="false">MID(A377,2,3)</f>
        <v>WOL</v>
      </c>
      <c r="D377" s="0" t="str">
        <f aca="false">LEFT(A377,7)</f>
        <v>PWOL004</v>
      </c>
      <c r="E377" s="0" t="str">
        <f aca="false">RIGHT(A377,5)</f>
        <v>A-0-N</v>
      </c>
      <c r="F377" s="0" t="s">
        <v>493</v>
      </c>
      <c r="G377" s="0" t="n">
        <v>1</v>
      </c>
      <c r="H377" s="0" t="n">
        <v>4</v>
      </c>
    </row>
    <row r="378" customFormat="false" ht="15" hidden="false" customHeight="true" outlineLevel="0" collapsed="false">
      <c r="A378" s="0" t="s">
        <v>622</v>
      </c>
      <c r="B378" s="0" t="n">
        <v>2</v>
      </c>
      <c r="C378" s="0" t="str">
        <f aca="false">MID(A378,2,3)</f>
        <v>WOL</v>
      </c>
      <c r="D378" s="0" t="str">
        <f aca="false">LEFT(A378,7)</f>
        <v>PWOL007</v>
      </c>
      <c r="E378" s="0" t="str">
        <f aca="false">RIGHT(A378,5)</f>
        <v>S-0-N</v>
      </c>
      <c r="F378" s="0" t="s">
        <v>493</v>
      </c>
      <c r="G378" s="0" t="n">
        <v>1</v>
      </c>
      <c r="H378" s="0" t="n">
        <v>4</v>
      </c>
    </row>
    <row r="379" customFormat="false" ht="15" hidden="false" customHeight="true" outlineLevel="0" collapsed="false">
      <c r="A379" s="0" t="s">
        <v>623</v>
      </c>
      <c r="B379" s="0" t="n">
        <v>2</v>
      </c>
      <c r="C379" s="0" t="str">
        <f aca="false">MID(A379,2,3)</f>
        <v>YAM</v>
      </c>
      <c r="D379" s="0" t="str">
        <f aca="false">LEFT(A379,7)</f>
        <v>PYAM001</v>
      </c>
      <c r="E379" s="0" t="str">
        <f aca="false">RIGHT(A379,5)</f>
        <v>S-0-N</v>
      </c>
      <c r="F379" s="0" t="s">
        <v>493</v>
      </c>
      <c r="G379" s="0" t="n">
        <v>1</v>
      </c>
      <c r="H379" s="0" t="n">
        <v>1</v>
      </c>
    </row>
    <row r="380" customFormat="false" ht="15" hidden="false" customHeight="true" outlineLevel="0" collapsed="false">
      <c r="A380" s="0" t="s">
        <v>624</v>
      </c>
      <c r="B380" s="0" t="n">
        <v>2</v>
      </c>
      <c r="C380" s="0" t="str">
        <f aca="false">MID(A380,2,3)</f>
        <v>YAM</v>
      </c>
      <c r="D380" s="0" t="str">
        <f aca="false">LEFT(A380,7)</f>
        <v>PYAM002</v>
      </c>
      <c r="E380" s="0" t="str">
        <f aca="false">RIGHT(A380,5)</f>
        <v>S-0-C</v>
      </c>
      <c r="F380" s="0" t="s">
        <v>493</v>
      </c>
      <c r="G380" s="0" t="n">
        <v>1</v>
      </c>
      <c r="H380" s="0" t="n">
        <v>1</v>
      </c>
    </row>
    <row r="381" customFormat="false" ht="15" hidden="false" customHeight="true" outlineLevel="0" collapsed="false">
      <c r="A381" s="1" t="s">
        <v>625</v>
      </c>
      <c r="B381" s="0" t="n">
        <v>2</v>
      </c>
      <c r="C381" s="0" t="str">
        <f aca="false">MID(A381,2,3)</f>
        <v>YAM</v>
      </c>
      <c r="D381" s="0" t="str">
        <f aca="false">LEFT(A381,7)</f>
        <v>PYAM002</v>
      </c>
      <c r="E381" s="1" t="str">
        <f aca="false">RIGHT(A381,5)</f>
        <v>S-0-N</v>
      </c>
      <c r="F381" s="0" t="s">
        <v>493</v>
      </c>
      <c r="G381" s="0" t="n">
        <v>1</v>
      </c>
      <c r="H381" s="0" t="n">
        <v>1</v>
      </c>
    </row>
    <row r="382" customFormat="false" ht="15" hidden="false" customHeight="true" outlineLevel="0" collapsed="false">
      <c r="A382" s="0" t="s">
        <v>626</v>
      </c>
      <c r="B382" s="0" t="n">
        <v>2</v>
      </c>
      <c r="C382" s="0" t="str">
        <f aca="false">MID(A382,2,3)</f>
        <v>YAM</v>
      </c>
      <c r="D382" s="0" t="str">
        <f aca="false">LEFT(A382,7)</f>
        <v>PYAM003</v>
      </c>
      <c r="E382" s="0" t="str">
        <f aca="false">RIGHT(A382,5)</f>
        <v>B-0-N</v>
      </c>
      <c r="F382" s="0" t="s">
        <v>493</v>
      </c>
      <c r="G382" s="0" t="n">
        <v>1</v>
      </c>
      <c r="H382" s="0" t="n">
        <v>1</v>
      </c>
    </row>
    <row r="383" customFormat="false" ht="15" hidden="false" customHeight="true" outlineLevel="0" collapsed="false">
      <c r="A383" s="0" t="s">
        <v>627</v>
      </c>
      <c r="B383" s="0" t="n">
        <v>2</v>
      </c>
      <c r="C383" s="0" t="str">
        <f aca="false">MID(A383,2,3)</f>
        <v>YAM</v>
      </c>
      <c r="D383" s="0" t="str">
        <f aca="false">LEFT(A383,7)</f>
        <v>PYAM003</v>
      </c>
      <c r="E383" s="0" t="str">
        <f aca="false">RIGHT(A383,5)</f>
        <v>B-P-N</v>
      </c>
      <c r="F383" s="0" t="s">
        <v>493</v>
      </c>
      <c r="G383" s="0" t="n">
        <v>1</v>
      </c>
      <c r="H383" s="0" t="n">
        <v>1</v>
      </c>
    </row>
    <row r="384" customFormat="false" ht="15" hidden="false" customHeight="true" outlineLevel="0" collapsed="false">
      <c r="A384" s="0" t="s">
        <v>628</v>
      </c>
      <c r="B384" s="0" t="n">
        <v>2</v>
      </c>
      <c r="C384" s="0" t="str">
        <f aca="false">MID(A384,2,3)</f>
        <v>YAM</v>
      </c>
      <c r="D384" s="0" t="str">
        <f aca="false">LEFT(A384,7)</f>
        <v>PYAM004</v>
      </c>
      <c r="E384" s="0" t="str">
        <f aca="false">RIGHT(A384,5)</f>
        <v>B-0-N</v>
      </c>
      <c r="F384" s="0" t="s">
        <v>493</v>
      </c>
      <c r="G384" s="0" t="n">
        <v>1</v>
      </c>
      <c r="H384" s="2" t="n">
        <v>1</v>
      </c>
    </row>
    <row r="385" customFormat="false" ht="15" hidden="false" customHeight="true" outlineLevel="0" collapsed="false">
      <c r="A385" s="0" t="s">
        <v>629</v>
      </c>
      <c r="B385" s="0" t="n">
        <v>2</v>
      </c>
      <c r="C385" s="0" t="str">
        <f aca="false">MID(A385,2,3)</f>
        <v>ZAZ</v>
      </c>
      <c r="D385" s="0" t="str">
        <f aca="false">LEFT(A385,7)</f>
        <v>PZAZ003</v>
      </c>
      <c r="E385" s="0" t="str">
        <f aca="false">RIGHT(A385,5)</f>
        <v>S-0-D</v>
      </c>
      <c r="F385" s="0" t="s">
        <v>493</v>
      </c>
      <c r="G385" s="0" t="n">
        <v>1</v>
      </c>
      <c r="H385" s="0" t="n">
        <v>4</v>
      </c>
    </row>
    <row r="386" customFormat="false" ht="15" hidden="false" customHeight="true" outlineLevel="0" collapsed="false">
      <c r="A386" s="0" t="s">
        <v>630</v>
      </c>
      <c r="B386" s="0" t="n">
        <v>2</v>
      </c>
      <c r="C386" s="0" t="str">
        <f aca="false">MID(A386,2,3)</f>
        <v>ZAZ</v>
      </c>
      <c r="D386" s="0" t="str">
        <f aca="false">LEFT(A386,7)</f>
        <v>PZAZ003</v>
      </c>
      <c r="E386" s="0" t="str">
        <f aca="false">RIGHT(A386,5)</f>
        <v>S-0-N</v>
      </c>
      <c r="F386" s="0" t="s">
        <v>493</v>
      </c>
      <c r="G386" s="0" t="n">
        <v>1</v>
      </c>
      <c r="H386" s="0" t="n">
        <v>4</v>
      </c>
    </row>
    <row r="387" customFormat="false" ht="15" hidden="false" customHeight="true" outlineLevel="0" collapsed="false">
      <c r="A387" s="0" t="s">
        <v>631</v>
      </c>
      <c r="B387" s="0" t="n">
        <v>2</v>
      </c>
      <c r="C387" s="0" t="str">
        <f aca="false">MID(A387,2,3)</f>
        <v>ZAZ</v>
      </c>
      <c r="D387" s="0" t="str">
        <f aca="false">LEFT(A387,7)</f>
        <v>PZAZ004</v>
      </c>
      <c r="E387" s="0" t="str">
        <f aca="false">RIGHT(A387,5)</f>
        <v>A-0-D</v>
      </c>
      <c r="F387" s="0" t="s">
        <v>493</v>
      </c>
      <c r="G387" s="0" t="n">
        <v>1</v>
      </c>
      <c r="H387" s="0" t="n">
        <v>4</v>
      </c>
    </row>
    <row r="388" customFormat="false" ht="15" hidden="false" customHeight="true" outlineLevel="0" collapsed="false">
      <c r="A388" s="0" t="s">
        <v>632</v>
      </c>
      <c r="B388" s="0" t="n">
        <v>2</v>
      </c>
      <c r="C388" s="0" t="str">
        <f aca="false">MID(A388,2,3)</f>
        <v>ZAZ</v>
      </c>
      <c r="D388" s="0" t="str">
        <f aca="false">LEFT(A388,7)</f>
        <v>PZAZ004</v>
      </c>
      <c r="E388" s="0" t="str">
        <f aca="false">RIGHT(A388,5)</f>
        <v>A-0-N</v>
      </c>
      <c r="F388" s="0" t="s">
        <v>493</v>
      </c>
      <c r="G388" s="0" t="n">
        <v>1</v>
      </c>
      <c r="H388" s="0" t="n">
        <v>4</v>
      </c>
    </row>
    <row r="389" customFormat="false" ht="15" hidden="false" customHeight="true" outlineLevel="0" collapsed="false">
      <c r="A389" s="0" t="s">
        <v>633</v>
      </c>
      <c r="B389" s="0" t="n">
        <v>2</v>
      </c>
      <c r="C389" s="0" t="str">
        <f aca="false">MID(A389,2,3)</f>
        <v>ZIL</v>
      </c>
      <c r="D389" s="0" t="str">
        <f aca="false">LEFT(A389,7)</f>
        <v>PZIL001</v>
      </c>
      <c r="E389" s="0" t="str">
        <f aca="false">RIGHT(A389,5)</f>
        <v>S-0-N</v>
      </c>
      <c r="F389" s="0" t="s">
        <v>493</v>
      </c>
      <c r="G389" s="0" t="n">
        <v>1</v>
      </c>
      <c r="H389" s="0" t="n">
        <v>1</v>
      </c>
    </row>
    <row r="390" customFormat="false" ht="15" hidden="false" customHeight="true" outlineLevel="0" collapsed="false">
      <c r="A390" s="0" t="s">
        <v>634</v>
      </c>
      <c r="B390" s="0" t="n">
        <v>2</v>
      </c>
      <c r="C390" s="0" t="str">
        <f aca="false">MID(A390,2,3)</f>
        <v>ZIL</v>
      </c>
      <c r="D390" s="0" t="str">
        <f aca="false">LEFT(A390,7)</f>
        <v>PZIL002</v>
      </c>
      <c r="E390" s="0" t="str">
        <f aca="false">RIGHT(A390,5)</f>
        <v>B-0-N</v>
      </c>
      <c r="F390" s="0" t="s">
        <v>493</v>
      </c>
      <c r="G390" s="0" t="n">
        <v>1</v>
      </c>
      <c r="H390" s="0" t="n">
        <v>1</v>
      </c>
    </row>
    <row r="391" customFormat="false" ht="15" hidden="false" customHeight="true" outlineLevel="0" collapsed="false">
      <c r="A391" s="0" t="s">
        <v>635</v>
      </c>
      <c r="B391" s="0" t="n">
        <v>3</v>
      </c>
      <c r="C391" s="0" t="str">
        <f aca="false">MID(A391,2,3)</f>
        <v>CAT</v>
      </c>
      <c r="D391" s="0" t="str">
        <f aca="false">LEFT(A391,7)</f>
        <v>JCAT005</v>
      </c>
      <c r="E391" s="0" t="str">
        <f aca="false">RIGHT(A391,1)</f>
        <v>0</v>
      </c>
      <c r="F391" s="0" t="s">
        <v>493</v>
      </c>
      <c r="G391" s="0" t="n">
        <v>1</v>
      </c>
      <c r="H391" s="0" t="n">
        <v>1</v>
      </c>
    </row>
    <row r="392" customFormat="false" ht="15" hidden="false" customHeight="true" outlineLevel="0" collapsed="false">
      <c r="A392" s="0" t="s">
        <v>636</v>
      </c>
      <c r="B392" s="0" t="n">
        <v>3</v>
      </c>
      <c r="C392" s="0" t="str">
        <f aca="false">MID(A392,2,3)</f>
        <v>CHE</v>
      </c>
      <c r="D392" s="0" t="str">
        <f aca="false">LEFT(A392,7)</f>
        <v>JCHE003</v>
      </c>
      <c r="E392" s="0" t="str">
        <f aca="false">RIGHT(A392,1)</f>
        <v>0</v>
      </c>
      <c r="F392" s="0" t="s">
        <v>493</v>
      </c>
      <c r="G392" s="0" t="n">
        <v>1</v>
      </c>
      <c r="H392" s="0" t="n">
        <v>4</v>
      </c>
    </row>
    <row r="393" customFormat="false" ht="15" hidden="false" customHeight="true" outlineLevel="0" collapsed="false">
      <c r="A393" s="0" t="s">
        <v>637</v>
      </c>
      <c r="B393" s="0" t="n">
        <v>3</v>
      </c>
      <c r="C393" s="0" t="str">
        <f aca="false">MID(A393,2,3)</f>
        <v>CHE</v>
      </c>
      <c r="D393" s="0" t="str">
        <f aca="false">LEFT(A393,7)</f>
        <v>JCHE003</v>
      </c>
      <c r="E393" s="0" t="str">
        <f aca="false">RIGHT(A393,1)</f>
        <v>1</v>
      </c>
      <c r="F393" s="0" t="s">
        <v>493</v>
      </c>
      <c r="G393" s="0" t="n">
        <v>1</v>
      </c>
      <c r="H393" s="0" t="n">
        <v>4</v>
      </c>
    </row>
    <row r="394" customFormat="false" ht="15" hidden="false" customHeight="true" outlineLevel="0" collapsed="false">
      <c r="A394" s="0" t="s">
        <v>638</v>
      </c>
      <c r="B394" s="0" t="n">
        <v>3</v>
      </c>
      <c r="C394" s="0" t="str">
        <f aca="false">MID(A394,2,3)</f>
        <v>CHE</v>
      </c>
      <c r="D394" s="0" t="str">
        <f aca="false">LEFT(A394,7)</f>
        <v>JCHE004</v>
      </c>
      <c r="E394" s="0" t="str">
        <f aca="false">RIGHT(A394,1)</f>
        <v>0</v>
      </c>
      <c r="F394" s="0" t="s">
        <v>493</v>
      </c>
      <c r="G394" s="0" t="n">
        <v>1</v>
      </c>
      <c r="H394" s="0" t="n">
        <v>4</v>
      </c>
    </row>
    <row r="395" customFormat="false" ht="15" hidden="false" customHeight="true" outlineLevel="0" collapsed="false">
      <c r="A395" s="0" t="s">
        <v>639</v>
      </c>
      <c r="B395" s="0" t="n">
        <v>3</v>
      </c>
      <c r="C395" s="0" t="str">
        <f aca="false">MID(A395,2,3)</f>
        <v>CHE</v>
      </c>
      <c r="D395" s="0" t="str">
        <f aca="false">LEFT(A395,7)</f>
        <v>JCHE004</v>
      </c>
      <c r="E395" s="0" t="str">
        <f aca="false">RIGHT(A395,1)</f>
        <v>1</v>
      </c>
      <c r="F395" s="0" t="s">
        <v>493</v>
      </c>
      <c r="G395" s="0" t="n">
        <v>1</v>
      </c>
      <c r="H395" s="0" t="n">
        <v>1</v>
      </c>
    </row>
    <row r="396" customFormat="false" ht="15" hidden="false" customHeight="true" outlineLevel="0" collapsed="false">
      <c r="A396" s="0" t="s">
        <v>640</v>
      </c>
      <c r="B396" s="0" t="n">
        <v>3</v>
      </c>
      <c r="C396" s="0" t="str">
        <f aca="false">MID(A396,2,3)</f>
        <v>CHE</v>
      </c>
      <c r="D396" s="0" t="str">
        <f aca="false">LEFT(A396,7)</f>
        <v>JCHE005</v>
      </c>
      <c r="E396" s="0" t="str">
        <f aca="false">RIGHT(A396,1)</f>
        <v>0</v>
      </c>
      <c r="F396" s="0" t="s">
        <v>493</v>
      </c>
      <c r="G396" s="0" t="n">
        <v>1</v>
      </c>
      <c r="H396" s="0" t="n">
        <v>4</v>
      </c>
    </row>
    <row r="397" customFormat="false" ht="15" hidden="false" customHeight="true" outlineLevel="0" collapsed="false">
      <c r="A397" s="0" t="s">
        <v>641</v>
      </c>
      <c r="B397" s="0" t="n">
        <v>3</v>
      </c>
      <c r="C397" s="0" t="str">
        <f aca="false">MID(A397,2,3)</f>
        <v>CHE</v>
      </c>
      <c r="D397" s="0" t="str">
        <f aca="false">LEFT(A397,7)</f>
        <v>JCHE005</v>
      </c>
      <c r="E397" s="0" t="str">
        <f aca="false">RIGHT(A397,1)</f>
        <v>1</v>
      </c>
      <c r="F397" s="0" t="s">
        <v>493</v>
      </c>
      <c r="G397" s="0" t="n">
        <v>1</v>
      </c>
      <c r="H397" s="0" t="n">
        <v>1</v>
      </c>
    </row>
    <row r="398" customFormat="false" ht="15" hidden="false" customHeight="true" outlineLevel="0" collapsed="false">
      <c r="A398" s="0" t="s">
        <v>642</v>
      </c>
      <c r="B398" s="0" t="n">
        <v>3</v>
      </c>
      <c r="C398" s="0" t="str">
        <f aca="false">MID(A398,2,3)</f>
        <v>DAE</v>
      </c>
      <c r="D398" s="0" t="str">
        <f aca="false">LEFT(A398,7)</f>
        <v>JDAE001</v>
      </c>
      <c r="E398" s="0" t="str">
        <f aca="false">RIGHT(A398,1)</f>
        <v>0</v>
      </c>
      <c r="F398" s="0" t="s">
        <v>493</v>
      </c>
      <c r="G398" s="0" t="n">
        <v>1</v>
      </c>
      <c r="H398" s="0" t="n">
        <v>4</v>
      </c>
    </row>
    <row r="399" customFormat="false" ht="15" hidden="false" customHeight="true" outlineLevel="0" collapsed="false">
      <c r="A399" s="0" t="s">
        <v>643</v>
      </c>
      <c r="B399" s="0" t="n">
        <v>3</v>
      </c>
      <c r="C399" s="0" t="str">
        <f aca="false">MID(A399,2,3)</f>
        <v>DAE</v>
      </c>
      <c r="D399" s="0" t="str">
        <f aca="false">LEFT(A399,7)</f>
        <v>JDAE001</v>
      </c>
      <c r="E399" s="0" t="str">
        <f aca="false">RIGHT(A399,1)</f>
        <v>0</v>
      </c>
      <c r="F399" s="0" t="s">
        <v>493</v>
      </c>
      <c r="G399" s="0" t="n">
        <v>1</v>
      </c>
      <c r="H399" s="0" t="n">
        <v>4</v>
      </c>
    </row>
    <row r="400" customFormat="false" ht="15" hidden="false" customHeight="true" outlineLevel="0" collapsed="false">
      <c r="A400" s="0" t="s">
        <v>644</v>
      </c>
      <c r="B400" s="0" t="n">
        <v>3</v>
      </c>
      <c r="C400" s="0" t="str">
        <f aca="false">MID(A400,2,3)</f>
        <v>DAE</v>
      </c>
      <c r="D400" s="0" t="str">
        <f aca="false">LEFT(A400,7)</f>
        <v>JDAE001</v>
      </c>
      <c r="E400" s="0" t="str">
        <f aca="false">RIGHT(A400,1)</f>
        <v>1</v>
      </c>
      <c r="F400" s="0" t="s">
        <v>493</v>
      </c>
      <c r="G400" s="0" t="n">
        <v>1</v>
      </c>
      <c r="H400" s="0" t="n">
        <v>1</v>
      </c>
    </row>
    <row r="401" customFormat="false" ht="15" hidden="false" customHeight="true" outlineLevel="0" collapsed="false">
      <c r="A401" s="0" t="s">
        <v>645</v>
      </c>
      <c r="B401" s="0" t="n">
        <v>3</v>
      </c>
      <c r="C401" s="0" t="str">
        <f aca="false">MID(A401,2,3)</f>
        <v>DAE</v>
      </c>
      <c r="D401" s="0" t="str">
        <f aca="false">LEFT(A401,7)</f>
        <v>JDAE003</v>
      </c>
      <c r="E401" s="0" t="str">
        <f aca="false">RIGHT(A401,1)</f>
        <v>0</v>
      </c>
      <c r="F401" s="0" t="s">
        <v>493</v>
      </c>
      <c r="G401" s="0" t="n">
        <v>1</v>
      </c>
      <c r="H401" s="0" t="n">
        <v>3</v>
      </c>
    </row>
    <row r="402" customFormat="false" ht="15" hidden="false" customHeight="true" outlineLevel="0" collapsed="false">
      <c r="A402" s="0" t="s">
        <v>646</v>
      </c>
      <c r="B402" s="0" t="n">
        <v>3</v>
      </c>
      <c r="C402" s="0" t="str">
        <f aca="false">MID(A402,2,3)</f>
        <v>DAE</v>
      </c>
      <c r="D402" s="0" t="str">
        <f aca="false">LEFT(A402,7)</f>
        <v>JDAE003</v>
      </c>
      <c r="E402" s="0" t="str">
        <f aca="false">RIGHT(A402,1)</f>
        <v>0</v>
      </c>
      <c r="F402" s="0" t="s">
        <v>493</v>
      </c>
      <c r="G402" s="0" t="n">
        <v>1</v>
      </c>
      <c r="H402" s="0" t="n">
        <v>3</v>
      </c>
    </row>
    <row r="403" customFormat="false" ht="15" hidden="false" customHeight="true" outlineLevel="0" collapsed="false">
      <c r="A403" s="0" t="s">
        <v>647</v>
      </c>
      <c r="B403" s="0" t="n">
        <v>3</v>
      </c>
      <c r="C403" s="0" t="str">
        <f aca="false">MID(A403,2,3)</f>
        <v>DAE</v>
      </c>
      <c r="D403" s="0" t="str">
        <f aca="false">LEFT(A403,7)</f>
        <v>JDAE003</v>
      </c>
      <c r="E403" s="0" t="str">
        <f aca="false">RIGHT(A403,1)</f>
        <v>1</v>
      </c>
      <c r="F403" s="0" t="s">
        <v>493</v>
      </c>
      <c r="G403" s="0" t="n">
        <v>1</v>
      </c>
      <c r="H403" s="0" t="n">
        <v>3</v>
      </c>
    </row>
    <row r="404" customFormat="false" ht="15" hidden="false" customHeight="true" outlineLevel="0" collapsed="false">
      <c r="A404" s="0" t="s">
        <v>648</v>
      </c>
      <c r="B404" s="0" t="n">
        <v>3</v>
      </c>
      <c r="C404" s="0" t="str">
        <f aca="false">MID(A404,2,3)</f>
        <v>DAE</v>
      </c>
      <c r="D404" s="0" t="str">
        <f aca="false">LEFT(A404,7)</f>
        <v>JDAE003</v>
      </c>
      <c r="E404" s="0" t="str">
        <f aca="false">RIGHT(A404,1)</f>
        <v>2</v>
      </c>
      <c r="F404" s="0" t="s">
        <v>493</v>
      </c>
      <c r="G404" s="0" t="n">
        <v>1</v>
      </c>
      <c r="H404" s="0" t="n">
        <v>1</v>
      </c>
    </row>
    <row r="405" customFormat="false" ht="15" hidden="false" customHeight="true" outlineLevel="0" collapsed="false">
      <c r="A405" s="0" t="s">
        <v>649</v>
      </c>
      <c r="B405" s="0" t="n">
        <v>3</v>
      </c>
      <c r="C405" s="0" t="str">
        <f aca="false">MID(A405,2,3)</f>
        <v>DAE</v>
      </c>
      <c r="D405" s="0" t="str">
        <f aca="false">LEFT(A405,7)</f>
        <v>JDAE004</v>
      </c>
      <c r="E405" s="0" t="str">
        <f aca="false">RIGHT(A405,1)</f>
        <v>0</v>
      </c>
      <c r="F405" s="0" t="s">
        <v>493</v>
      </c>
      <c r="G405" s="0" t="n">
        <v>1</v>
      </c>
      <c r="H405" s="0" t="n">
        <v>4</v>
      </c>
    </row>
    <row r="406" customFormat="false" ht="15" hidden="false" customHeight="true" outlineLevel="0" collapsed="false">
      <c r="A406" s="0" t="s">
        <v>650</v>
      </c>
      <c r="B406" s="0" t="n">
        <v>3</v>
      </c>
      <c r="C406" s="0" t="str">
        <f aca="false">MID(A406,2,3)</f>
        <v>DAE</v>
      </c>
      <c r="D406" s="0" t="str">
        <f aca="false">LEFT(A406,7)</f>
        <v>JDAE004</v>
      </c>
      <c r="E406" s="0" t="str">
        <f aca="false">RIGHT(A406,1)</f>
        <v>0</v>
      </c>
      <c r="F406" s="0" t="s">
        <v>493</v>
      </c>
      <c r="G406" s="0" t="n">
        <v>1</v>
      </c>
      <c r="H406" s="0" t="n">
        <v>4</v>
      </c>
    </row>
    <row r="407" customFormat="false" ht="15" hidden="false" customHeight="true" outlineLevel="0" collapsed="false">
      <c r="A407" s="0" t="s">
        <v>651</v>
      </c>
      <c r="B407" s="0" t="n">
        <v>3</v>
      </c>
      <c r="C407" s="0" t="str">
        <f aca="false">MID(A407,2,3)</f>
        <v>DAE</v>
      </c>
      <c r="D407" s="0" t="str">
        <f aca="false">LEFT(A407,7)</f>
        <v>JDAE004</v>
      </c>
      <c r="E407" s="0" t="str">
        <f aca="false">RIGHT(A407,1)</f>
        <v>1</v>
      </c>
      <c r="F407" s="0" t="s">
        <v>493</v>
      </c>
      <c r="G407" s="0" t="n">
        <v>1</v>
      </c>
      <c r="H407" s="0" t="n">
        <v>4</v>
      </c>
    </row>
    <row r="408" customFormat="false" ht="15" hidden="false" customHeight="true" outlineLevel="0" collapsed="false">
      <c r="A408" s="0" t="s">
        <v>652</v>
      </c>
      <c r="B408" s="0" t="n">
        <v>3</v>
      </c>
      <c r="C408" s="0" t="str">
        <f aca="false">MID(A408,2,3)</f>
        <v>DAF</v>
      </c>
      <c r="D408" s="0" t="str">
        <f aca="false">LEFT(A408,7)</f>
        <v>JDAF002</v>
      </c>
      <c r="E408" s="0" t="str">
        <f aca="false">RIGHT(A408,1)</f>
        <v>0</v>
      </c>
      <c r="F408" s="0" t="s">
        <v>493</v>
      </c>
      <c r="G408" s="0" t="n">
        <v>1</v>
      </c>
      <c r="H408" s="0" t="n">
        <v>1</v>
      </c>
    </row>
    <row r="409" customFormat="false" ht="15" hidden="false" customHeight="true" outlineLevel="0" collapsed="false">
      <c r="A409" s="0" t="s">
        <v>653</v>
      </c>
      <c r="B409" s="0" t="n">
        <v>3</v>
      </c>
      <c r="C409" s="0" t="str">
        <f aca="false">MID(A409,2,3)</f>
        <v>DAF</v>
      </c>
      <c r="D409" s="0" t="str">
        <f aca="false">LEFT(A409,7)</f>
        <v>JDAF003</v>
      </c>
      <c r="E409" s="0" t="str">
        <f aca="false">RIGHT(A409,1)</f>
        <v>0</v>
      </c>
      <c r="F409" s="0" t="s">
        <v>493</v>
      </c>
      <c r="G409" s="0" t="n">
        <v>1</v>
      </c>
      <c r="H409" s="0" t="n">
        <v>1</v>
      </c>
    </row>
    <row r="410" customFormat="false" ht="15" hidden="false" customHeight="true" outlineLevel="0" collapsed="false">
      <c r="A410" s="0" t="s">
        <v>654</v>
      </c>
      <c r="B410" s="0" t="n">
        <v>3</v>
      </c>
      <c r="C410" s="0" t="str">
        <f aca="false">MID(A410,2,3)</f>
        <v>HYU</v>
      </c>
      <c r="D410" s="0" t="str">
        <f aca="false">LEFT(A410,7)</f>
        <v>JHYU001</v>
      </c>
      <c r="E410" s="0" t="str">
        <f aca="false">RIGHT(A410,1)</f>
        <v>0</v>
      </c>
      <c r="F410" s="0" t="s">
        <v>493</v>
      </c>
      <c r="G410" s="0" t="n">
        <v>1</v>
      </c>
      <c r="H410" s="0" t="n">
        <v>1</v>
      </c>
    </row>
    <row r="411" customFormat="false" ht="15" hidden="false" customHeight="true" outlineLevel="0" collapsed="false">
      <c r="A411" s="0" t="s">
        <v>655</v>
      </c>
      <c r="B411" s="0" t="n">
        <v>3</v>
      </c>
      <c r="C411" s="0" t="str">
        <f aca="false">MID(A411,2,3)</f>
        <v>HYU</v>
      </c>
      <c r="D411" s="0" t="str">
        <f aca="false">LEFT(A411,7)</f>
        <v>JHYU002</v>
      </c>
      <c r="E411" s="0" t="str">
        <f aca="false">RIGHT(A411,1)</f>
        <v>0</v>
      </c>
      <c r="F411" s="0" t="s">
        <v>493</v>
      </c>
      <c r="G411" s="0" t="n">
        <v>1</v>
      </c>
      <c r="H411" s="0" t="n">
        <v>1</v>
      </c>
    </row>
    <row r="412" customFormat="false" ht="15" hidden="false" customHeight="true" outlineLevel="0" collapsed="false">
      <c r="A412" s="0" t="s">
        <v>656</v>
      </c>
      <c r="B412" s="0" t="n">
        <v>3</v>
      </c>
      <c r="C412" s="0" t="str">
        <f aca="false">MID(A412,2,3)</f>
        <v>HYU</v>
      </c>
      <c r="D412" s="0" t="str">
        <f aca="false">LEFT(A412,7)</f>
        <v>JHYU003</v>
      </c>
      <c r="E412" s="0" t="str">
        <f aca="false">RIGHT(A412,1)</f>
        <v>0</v>
      </c>
      <c r="F412" s="0" t="s">
        <v>493</v>
      </c>
      <c r="G412" s="0" t="n">
        <v>1</v>
      </c>
      <c r="H412" s="0" t="n">
        <v>1</v>
      </c>
    </row>
    <row r="413" customFormat="false" ht="15" hidden="false" customHeight="true" outlineLevel="0" collapsed="false">
      <c r="A413" s="0" t="s">
        <v>657</v>
      </c>
      <c r="B413" s="0" t="n">
        <v>3</v>
      </c>
      <c r="C413" s="0" t="str">
        <f aca="false">MID(A413,2,3)</f>
        <v>HYU</v>
      </c>
      <c r="D413" s="0" t="str">
        <f aca="false">LEFT(A413,7)</f>
        <v>JHYU004</v>
      </c>
      <c r="E413" s="0" t="str">
        <f aca="false">RIGHT(A413,1)</f>
        <v>0</v>
      </c>
      <c r="F413" s="0" t="s">
        <v>493</v>
      </c>
      <c r="G413" s="0" t="n">
        <v>1</v>
      </c>
      <c r="H413" s="0" t="n">
        <v>1</v>
      </c>
    </row>
    <row r="414" customFormat="false" ht="15" hidden="false" customHeight="true" outlineLevel="0" collapsed="false">
      <c r="A414" s="0" t="s">
        <v>658</v>
      </c>
      <c r="B414" s="0" t="n">
        <v>3</v>
      </c>
      <c r="C414" s="0" t="str">
        <f aca="false">MID(A414,2,3)</f>
        <v>IKA</v>
      </c>
      <c r="D414" s="0" t="str">
        <f aca="false">LEFT(A414,7)</f>
        <v>JIKA001</v>
      </c>
      <c r="E414" s="0" t="str">
        <f aca="false">RIGHT(A414,1)</f>
        <v>0</v>
      </c>
      <c r="F414" s="0" t="s">
        <v>493</v>
      </c>
      <c r="G414" s="0" t="n">
        <v>1</v>
      </c>
      <c r="H414" s="0" t="n">
        <v>1</v>
      </c>
    </row>
    <row r="415" customFormat="false" ht="15" hidden="false" customHeight="true" outlineLevel="0" collapsed="false">
      <c r="A415" s="0" t="s">
        <v>659</v>
      </c>
      <c r="B415" s="0" t="n">
        <v>3</v>
      </c>
      <c r="C415" s="0" t="str">
        <f aca="false">MID(A415,2,3)</f>
        <v>IKA</v>
      </c>
      <c r="D415" s="0" t="str">
        <f aca="false">LEFT(A415,7)</f>
        <v>JIKA002</v>
      </c>
      <c r="E415" s="0" t="str">
        <f aca="false">RIGHT(A415,1)</f>
        <v>0</v>
      </c>
      <c r="F415" s="0" t="s">
        <v>493</v>
      </c>
      <c r="G415" s="0" t="n">
        <v>1</v>
      </c>
      <c r="H415" s="0" t="n">
        <v>1</v>
      </c>
    </row>
    <row r="416" customFormat="false" ht="15" hidden="false" customHeight="true" outlineLevel="0" collapsed="false">
      <c r="A416" s="0" t="s">
        <v>660</v>
      </c>
      <c r="B416" s="0" t="n">
        <v>3</v>
      </c>
      <c r="C416" s="0" t="str">
        <f aca="false">MID(A416,2,3)</f>
        <v>ISU</v>
      </c>
      <c r="D416" s="0" t="str">
        <f aca="false">LEFT(A416,7)</f>
        <v>JISU003</v>
      </c>
      <c r="E416" s="0" t="str">
        <f aca="false">RIGHT(A416,1)</f>
        <v>0</v>
      </c>
      <c r="F416" s="0" t="s">
        <v>493</v>
      </c>
      <c r="G416" s="0" t="n">
        <v>1</v>
      </c>
      <c r="H416" s="0" t="n">
        <v>1</v>
      </c>
    </row>
    <row r="417" customFormat="false" ht="15" hidden="false" customHeight="true" outlineLevel="0" collapsed="false">
      <c r="A417" s="0" t="s">
        <v>661</v>
      </c>
      <c r="B417" s="0" t="n">
        <v>3</v>
      </c>
      <c r="C417" s="0" t="str">
        <f aca="false">MID(A417,2,3)</f>
        <v>JOH</v>
      </c>
      <c r="D417" s="0" t="str">
        <f aca="false">LEFT(A417,7)</f>
        <v>JJOH001</v>
      </c>
      <c r="E417" s="0" t="str">
        <f aca="false">RIGHT(A417,1)</f>
        <v>0</v>
      </c>
      <c r="F417" s="0" t="s">
        <v>493</v>
      </c>
      <c r="G417" s="0" t="n">
        <v>1</v>
      </c>
      <c r="H417" s="0" t="n">
        <v>1</v>
      </c>
    </row>
    <row r="418" customFormat="false" ht="15" hidden="false" customHeight="true" outlineLevel="0" collapsed="false">
      <c r="A418" s="0" t="s">
        <v>662</v>
      </c>
      <c r="B418" s="0" t="n">
        <v>3</v>
      </c>
      <c r="C418" s="0" t="str">
        <f aca="false">MID(A418,2,3)</f>
        <v>KAM</v>
      </c>
      <c r="D418" s="0" t="str">
        <f aca="false">LEFT(A418,7)</f>
        <v>JKAM001</v>
      </c>
      <c r="E418" s="0" t="str">
        <f aca="false">RIGHT(A418,1)</f>
        <v>0</v>
      </c>
      <c r="F418" s="0" t="s">
        <v>493</v>
      </c>
      <c r="G418" s="0" t="n">
        <v>1</v>
      </c>
      <c r="H418" s="0" t="n">
        <v>1</v>
      </c>
    </row>
    <row r="419" customFormat="false" ht="15" hidden="false" customHeight="true" outlineLevel="0" collapsed="false">
      <c r="A419" s="0" t="s">
        <v>663</v>
      </c>
      <c r="B419" s="0" t="n">
        <v>3</v>
      </c>
      <c r="C419" s="0" t="str">
        <f aca="false">MID(A419,2,3)</f>
        <v>KAM</v>
      </c>
      <c r="D419" s="0" t="str">
        <f aca="false">LEFT(A419,7)</f>
        <v>JKAM001</v>
      </c>
      <c r="E419" s="0" t="str">
        <f aca="false">RIGHT(A419,1)</f>
        <v>0</v>
      </c>
      <c r="F419" s="0" t="s">
        <v>493</v>
      </c>
      <c r="G419" s="0" t="n">
        <v>1</v>
      </c>
      <c r="H419" s="0" t="n">
        <v>1</v>
      </c>
    </row>
    <row r="420" customFormat="false" ht="15" hidden="false" customHeight="true" outlineLevel="0" collapsed="false">
      <c r="A420" s="0" t="s">
        <v>664</v>
      </c>
      <c r="B420" s="0" t="n">
        <v>3</v>
      </c>
      <c r="C420" s="0" t="str">
        <f aca="false">MID(A420,2,3)</f>
        <v>KAM</v>
      </c>
      <c r="D420" s="0" t="str">
        <f aca="false">LEFT(A420,7)</f>
        <v>JKAM001</v>
      </c>
      <c r="E420" s="0" t="str">
        <f aca="false">RIGHT(A420,1)</f>
        <v>2</v>
      </c>
      <c r="F420" s="0" t="s">
        <v>493</v>
      </c>
      <c r="G420" s="0" t="n">
        <v>1</v>
      </c>
      <c r="H420" s="0" t="n">
        <v>1</v>
      </c>
    </row>
    <row r="421" customFormat="false" ht="15" hidden="false" customHeight="true" outlineLevel="0" collapsed="false">
      <c r="A421" s="0" t="s">
        <v>665</v>
      </c>
      <c r="B421" s="0" t="n">
        <v>3</v>
      </c>
      <c r="C421" s="0" t="str">
        <f aca="false">MID(A421,2,3)</f>
        <v>KAM</v>
      </c>
      <c r="D421" s="0" t="str">
        <f aca="false">LEFT(A421,7)</f>
        <v>JKAM001</v>
      </c>
      <c r="E421" s="0" t="str">
        <f aca="false">RIGHT(A421,1)</f>
        <v>2</v>
      </c>
      <c r="F421" s="0" t="s">
        <v>493</v>
      </c>
      <c r="G421" s="0" t="n">
        <v>1</v>
      </c>
      <c r="H421" s="0" t="n">
        <v>1</v>
      </c>
    </row>
    <row r="422" customFormat="false" ht="15" hidden="false" customHeight="true" outlineLevel="0" collapsed="false">
      <c r="A422" s="0" t="s">
        <v>666</v>
      </c>
      <c r="B422" s="0" t="n">
        <v>3</v>
      </c>
      <c r="C422" s="0" t="str">
        <f aca="false">MID(A422,2,3)</f>
        <v>KHD</v>
      </c>
      <c r="D422" s="0" t="str">
        <f aca="false">LEFT(A422,7)</f>
        <v>JKHD005</v>
      </c>
      <c r="E422" s="0" t="str">
        <f aca="false">RIGHT(A422,1)</f>
        <v>0</v>
      </c>
      <c r="F422" s="0" t="s">
        <v>493</v>
      </c>
      <c r="G422" s="0" t="n">
        <v>1</v>
      </c>
      <c r="H422" s="0" t="n">
        <v>1</v>
      </c>
    </row>
    <row r="423" customFormat="false" ht="15" hidden="false" customHeight="true" outlineLevel="0" collapsed="false">
      <c r="A423" s="0" t="s">
        <v>667</v>
      </c>
      <c r="B423" s="0" t="n">
        <v>3</v>
      </c>
      <c r="C423" s="0" t="str">
        <f aca="false">MID(A423,2,3)</f>
        <v>KHD</v>
      </c>
      <c r="D423" s="0" t="str">
        <f aca="false">LEFT(A423,7)</f>
        <v>JKHD006</v>
      </c>
      <c r="E423" s="0" t="str">
        <f aca="false">RIGHT(A423,1)</f>
        <v>0</v>
      </c>
      <c r="F423" s="0" t="s">
        <v>493</v>
      </c>
      <c r="G423" s="0" t="n">
        <v>1</v>
      </c>
      <c r="H423" s="0" t="n">
        <v>1</v>
      </c>
    </row>
    <row r="424" customFormat="false" ht="15" hidden="false" customHeight="true" outlineLevel="0" collapsed="false">
      <c r="A424" s="0" t="s">
        <v>668</v>
      </c>
      <c r="B424" s="0" t="n">
        <v>3</v>
      </c>
      <c r="C424" s="0" t="str">
        <f aca="false">MID(A424,2,3)</f>
        <v>LAD</v>
      </c>
      <c r="D424" s="0" t="str">
        <f aca="false">LEFT(A424,7)</f>
        <v>JLAD001</v>
      </c>
      <c r="E424" s="0" t="str">
        <f aca="false">RIGHT(A424,1)</f>
        <v>0</v>
      </c>
      <c r="F424" s="0" t="s">
        <v>493</v>
      </c>
      <c r="G424" s="0" t="n">
        <v>1</v>
      </c>
      <c r="H424" s="0" t="n">
        <v>4</v>
      </c>
    </row>
    <row r="425" customFormat="false" ht="15" hidden="false" customHeight="true" outlineLevel="0" collapsed="false">
      <c r="A425" s="0" t="s">
        <v>669</v>
      </c>
      <c r="B425" s="0" t="n">
        <v>3</v>
      </c>
      <c r="C425" s="0" t="str">
        <f aca="false">MID(A425,2,3)</f>
        <v>LAD</v>
      </c>
      <c r="D425" s="0" t="str">
        <f aca="false">LEFT(A425,7)</f>
        <v>JLAD002</v>
      </c>
      <c r="E425" s="0" t="str">
        <f aca="false">RIGHT(A425,1)</f>
        <v>0</v>
      </c>
      <c r="F425" s="0" t="s">
        <v>493</v>
      </c>
      <c r="G425" s="0" t="n">
        <v>1</v>
      </c>
      <c r="H425" s="0" t="n">
        <v>4</v>
      </c>
    </row>
    <row r="426" customFormat="false" ht="15" hidden="false" customHeight="true" outlineLevel="0" collapsed="false">
      <c r="A426" s="0" t="s">
        <v>670</v>
      </c>
      <c r="B426" s="0" t="n">
        <v>3</v>
      </c>
      <c r="C426" s="0" t="str">
        <f aca="false">MID(A426,2,3)</f>
        <v>LAD</v>
      </c>
      <c r="D426" s="0" t="str">
        <f aca="false">LEFT(A426,7)</f>
        <v>JLAD003</v>
      </c>
      <c r="E426" s="0" t="str">
        <f aca="false">RIGHT(A426,1)</f>
        <v>0</v>
      </c>
      <c r="F426" s="0" t="s">
        <v>493</v>
      </c>
      <c r="G426" s="0" t="n">
        <v>1</v>
      </c>
      <c r="H426" s="0" t="n">
        <v>4</v>
      </c>
    </row>
    <row r="427" customFormat="false" ht="15" hidden="false" customHeight="true" outlineLevel="0" collapsed="false">
      <c r="A427" s="0" t="s">
        <v>671</v>
      </c>
      <c r="B427" s="0" t="n">
        <v>3</v>
      </c>
      <c r="C427" s="0" t="str">
        <f aca="false">MID(A427,2,3)</f>
        <v>LAD</v>
      </c>
      <c r="D427" s="0" t="str">
        <f aca="false">LEFT(A427,7)</f>
        <v>JLAD004</v>
      </c>
      <c r="E427" s="0" t="str">
        <f aca="false">RIGHT(A427,1)</f>
        <v>0</v>
      </c>
      <c r="F427" s="0" t="s">
        <v>493</v>
      </c>
      <c r="G427" s="0" t="n">
        <v>1</v>
      </c>
      <c r="H427" s="0" t="n">
        <v>4</v>
      </c>
    </row>
    <row r="428" customFormat="false" ht="15" hidden="false" customHeight="true" outlineLevel="0" collapsed="false">
      <c r="A428" s="0" t="s">
        <v>672</v>
      </c>
      <c r="B428" s="0" t="n">
        <v>3</v>
      </c>
      <c r="C428" s="0" t="str">
        <f aca="false">MID(A428,2,3)</f>
        <v>LAD</v>
      </c>
      <c r="D428" s="0" t="str">
        <f aca="false">LEFT(A428,7)</f>
        <v>JLAD006</v>
      </c>
      <c r="E428" s="0" t="str">
        <f aca="false">RIGHT(A428,1)</f>
        <v>0</v>
      </c>
      <c r="F428" s="0" t="s">
        <v>493</v>
      </c>
      <c r="G428" s="0" t="n">
        <v>1</v>
      </c>
      <c r="H428" s="0" t="n">
        <v>16</v>
      </c>
    </row>
    <row r="429" customFormat="false" ht="15" hidden="false" customHeight="true" outlineLevel="0" collapsed="false">
      <c r="A429" s="0" t="s">
        <v>673</v>
      </c>
      <c r="B429" s="0" t="n">
        <v>3</v>
      </c>
      <c r="C429" s="0" t="str">
        <f aca="false">MID(A429,2,3)</f>
        <v>LAD</v>
      </c>
      <c r="D429" s="0" t="str">
        <f aca="false">LEFT(A429,7)</f>
        <v>JLAD006</v>
      </c>
      <c r="E429" s="0" t="str">
        <f aca="false">RIGHT(A429,1)</f>
        <v>1</v>
      </c>
      <c r="F429" s="0" t="s">
        <v>493</v>
      </c>
      <c r="G429" s="0" t="n">
        <v>1</v>
      </c>
      <c r="H429" s="0" t="n">
        <v>16</v>
      </c>
    </row>
    <row r="430" customFormat="false" ht="15" hidden="false" customHeight="true" outlineLevel="0" collapsed="false">
      <c r="A430" s="0" t="s">
        <v>674</v>
      </c>
      <c r="B430" s="0" t="n">
        <v>3</v>
      </c>
      <c r="C430" s="0" t="str">
        <f aca="false">MID(A430,2,3)</f>
        <v>LAD</v>
      </c>
      <c r="D430" s="0" t="str">
        <f aca="false">LEFT(A430,7)</f>
        <v>JLAD006</v>
      </c>
      <c r="E430" s="0" t="str">
        <f aca="false">RIGHT(A430,1)</f>
        <v>2</v>
      </c>
      <c r="F430" s="0" t="s">
        <v>493</v>
      </c>
      <c r="G430" s="0" t="n">
        <v>1</v>
      </c>
      <c r="H430" s="0" t="n">
        <v>16</v>
      </c>
    </row>
    <row r="431" customFormat="false" ht="15" hidden="false" customHeight="true" outlineLevel="0" collapsed="false">
      <c r="A431" s="0" t="s">
        <v>675</v>
      </c>
      <c r="B431" s="0" t="n">
        <v>3</v>
      </c>
      <c r="C431" s="0" t="str">
        <f aca="false">MID(A431,2,3)</f>
        <v>LAD</v>
      </c>
      <c r="D431" s="0" t="str">
        <f aca="false">LEFT(A431,7)</f>
        <v>JLAD010</v>
      </c>
      <c r="E431" s="0" t="str">
        <f aca="false">RIGHT(A431,1)</f>
        <v>0</v>
      </c>
      <c r="F431" s="0" t="s">
        <v>493</v>
      </c>
      <c r="G431" s="0" t="n">
        <v>1</v>
      </c>
      <c r="H431" s="0" t="n">
        <v>16</v>
      </c>
    </row>
    <row r="432" customFormat="false" ht="15" hidden="false" customHeight="true" outlineLevel="0" collapsed="false">
      <c r="A432" s="0" t="s">
        <v>676</v>
      </c>
      <c r="B432" s="0" t="n">
        <v>3</v>
      </c>
      <c r="C432" s="0" t="str">
        <f aca="false">MID(A432,2,3)</f>
        <v>LAD</v>
      </c>
      <c r="D432" s="0" t="str">
        <f aca="false">LEFT(A432,7)</f>
        <v>JLAD011</v>
      </c>
      <c r="E432" s="0" t="str">
        <f aca="false">RIGHT(A432,1)</f>
        <v>0</v>
      </c>
      <c r="F432" s="0" t="s">
        <v>493</v>
      </c>
      <c r="G432" s="0" t="n">
        <v>1</v>
      </c>
      <c r="H432" s="0" t="n">
        <v>4</v>
      </c>
    </row>
    <row r="433" customFormat="false" ht="15" hidden="false" customHeight="true" outlineLevel="0" collapsed="false">
      <c r="A433" s="0" t="s">
        <v>677</v>
      </c>
      <c r="B433" s="0" t="n">
        <v>3</v>
      </c>
      <c r="C433" s="0" t="str">
        <f aca="false">MID(A433,2,3)</f>
        <v>LAD</v>
      </c>
      <c r="D433" s="0" t="str">
        <f aca="false">LEFT(A433,7)</f>
        <v>JLAD011</v>
      </c>
      <c r="E433" s="0" t="str">
        <f aca="false">RIGHT(A433,1)</f>
        <v>1</v>
      </c>
      <c r="F433" s="0" t="s">
        <v>493</v>
      </c>
      <c r="G433" s="0" t="n">
        <v>1</v>
      </c>
      <c r="H433" s="0" t="n">
        <v>4</v>
      </c>
    </row>
    <row r="434" customFormat="false" ht="15" hidden="false" customHeight="true" outlineLevel="0" collapsed="false">
      <c r="A434" s="0" t="s">
        <v>678</v>
      </c>
      <c r="B434" s="0" t="n">
        <v>3</v>
      </c>
      <c r="C434" s="0" t="str">
        <f aca="false">MID(A434,2,3)</f>
        <v>LAD</v>
      </c>
      <c r="D434" s="0" t="str">
        <f aca="false">LEFT(A434,7)</f>
        <v>JLAD011</v>
      </c>
      <c r="E434" s="0" t="str">
        <f aca="false">RIGHT(A434,1)</f>
        <v>2</v>
      </c>
      <c r="F434" s="0" t="s">
        <v>493</v>
      </c>
      <c r="G434" s="0" t="n">
        <v>1</v>
      </c>
      <c r="H434" s="0" t="n">
        <v>4</v>
      </c>
    </row>
    <row r="435" customFormat="false" ht="15" hidden="false" customHeight="true" outlineLevel="0" collapsed="false">
      <c r="A435" s="0" t="s">
        <v>679</v>
      </c>
      <c r="B435" s="0" t="n">
        <v>3</v>
      </c>
      <c r="C435" s="0" t="str">
        <f aca="false">MID(A435,2,3)</f>
        <v>LAD</v>
      </c>
      <c r="D435" s="0" t="str">
        <f aca="false">LEFT(A435,7)</f>
        <v>JLAD011</v>
      </c>
      <c r="E435" s="0" t="str">
        <f aca="false">RIGHT(A435,1)</f>
        <v>3</v>
      </c>
      <c r="F435" s="0" t="s">
        <v>493</v>
      </c>
      <c r="G435" s="0" t="n">
        <v>1</v>
      </c>
      <c r="H435" s="0" t="n">
        <v>4</v>
      </c>
    </row>
    <row r="436" customFormat="false" ht="15" hidden="false" customHeight="true" outlineLevel="0" collapsed="false">
      <c r="A436" s="0" t="s">
        <v>680</v>
      </c>
      <c r="B436" s="0" t="n">
        <v>3</v>
      </c>
      <c r="C436" s="0" t="str">
        <f aca="false">MID(A436,2,3)</f>
        <v>LAD</v>
      </c>
      <c r="D436" s="0" t="str">
        <f aca="false">LEFT(A436,7)</f>
        <v>JLAD012</v>
      </c>
      <c r="E436" s="0" t="str">
        <f aca="false">RIGHT(A436,1)</f>
        <v>0</v>
      </c>
      <c r="F436" s="0" t="s">
        <v>493</v>
      </c>
      <c r="G436" s="0" t="n">
        <v>1</v>
      </c>
      <c r="H436" s="0" t="n">
        <v>4</v>
      </c>
    </row>
    <row r="437" customFormat="false" ht="15" hidden="false" customHeight="true" outlineLevel="0" collapsed="false">
      <c r="A437" s="0" t="s">
        <v>681</v>
      </c>
      <c r="B437" s="0" t="n">
        <v>3</v>
      </c>
      <c r="C437" s="0" t="str">
        <f aca="false">MID(A437,2,3)</f>
        <v>LAD</v>
      </c>
      <c r="D437" s="0" t="str">
        <f aca="false">LEFT(A437,7)</f>
        <v>JLAD012</v>
      </c>
      <c r="E437" s="0" t="str">
        <f aca="false">RIGHT(A437,1)</f>
        <v>1</v>
      </c>
      <c r="F437" s="0" t="s">
        <v>493</v>
      </c>
      <c r="G437" s="0" t="n">
        <v>1</v>
      </c>
      <c r="H437" s="0" t="n">
        <v>4</v>
      </c>
    </row>
    <row r="438" customFormat="false" ht="15" hidden="false" customHeight="true" outlineLevel="0" collapsed="false">
      <c r="A438" s="0" t="s">
        <v>682</v>
      </c>
      <c r="B438" s="0" t="n">
        <v>3</v>
      </c>
      <c r="C438" s="0" t="str">
        <f aca="false">MID(A438,2,3)</f>
        <v>LAD</v>
      </c>
      <c r="D438" s="0" t="str">
        <f aca="false">LEFT(A438,7)</f>
        <v>JLAD012</v>
      </c>
      <c r="E438" s="0" t="str">
        <f aca="false">RIGHT(A438,1)</f>
        <v>2</v>
      </c>
      <c r="F438" s="0" t="s">
        <v>493</v>
      </c>
      <c r="G438" s="0" t="n">
        <v>1</v>
      </c>
      <c r="H438" s="0" t="n">
        <v>4</v>
      </c>
    </row>
    <row r="439" customFormat="false" ht="15" hidden="false" customHeight="true" outlineLevel="0" collapsed="false">
      <c r="A439" s="0" t="s">
        <v>683</v>
      </c>
      <c r="B439" s="0" t="n">
        <v>3</v>
      </c>
      <c r="C439" s="0" t="str">
        <f aca="false">MID(A439,2,3)</f>
        <v>LAD</v>
      </c>
      <c r="D439" s="0" t="str">
        <f aca="false">LEFT(A439,7)</f>
        <v>JLAD012</v>
      </c>
      <c r="E439" s="0" t="str">
        <f aca="false">RIGHT(A439,1)</f>
        <v>3</v>
      </c>
      <c r="F439" s="0" t="s">
        <v>493</v>
      </c>
      <c r="G439" s="0" t="n">
        <v>1</v>
      </c>
      <c r="H439" s="0" t="n">
        <v>4</v>
      </c>
    </row>
    <row r="440" customFormat="false" ht="15" hidden="false" customHeight="true" outlineLevel="0" collapsed="false">
      <c r="A440" s="0" t="s">
        <v>684</v>
      </c>
      <c r="B440" s="0" t="n">
        <v>3</v>
      </c>
      <c r="C440" s="0" t="str">
        <f aca="false">MID(A440,2,3)</f>
        <v>LAD</v>
      </c>
      <c r="D440" s="0" t="str">
        <f aca="false">LEFT(A440,7)</f>
        <v>JLAD013</v>
      </c>
      <c r="E440" s="0" t="str">
        <f aca="false">RIGHT(A440,1)</f>
        <v>0</v>
      </c>
      <c r="F440" s="0" t="s">
        <v>493</v>
      </c>
      <c r="G440" s="0" t="n">
        <v>1</v>
      </c>
      <c r="H440" s="0" t="n">
        <v>4</v>
      </c>
    </row>
    <row r="441" customFormat="false" ht="15" hidden="false" customHeight="true" outlineLevel="0" collapsed="false">
      <c r="A441" s="0" t="s">
        <v>685</v>
      </c>
      <c r="B441" s="0" t="n">
        <v>3</v>
      </c>
      <c r="C441" s="0" t="str">
        <f aca="false">MID(A441,2,3)</f>
        <v>LAD</v>
      </c>
      <c r="D441" s="0" t="str">
        <f aca="false">LEFT(A441,7)</f>
        <v>JLAD013</v>
      </c>
      <c r="E441" s="0" t="str">
        <f aca="false">RIGHT(A441,1)</f>
        <v>1</v>
      </c>
      <c r="F441" s="0" t="s">
        <v>493</v>
      </c>
      <c r="G441" s="0" t="n">
        <v>1</v>
      </c>
      <c r="H441" s="0" t="n">
        <v>4</v>
      </c>
    </row>
    <row r="442" customFormat="false" ht="15" hidden="false" customHeight="true" outlineLevel="0" collapsed="false">
      <c r="A442" s="0" t="s">
        <v>686</v>
      </c>
      <c r="B442" s="0" t="n">
        <v>3</v>
      </c>
      <c r="C442" s="0" t="str">
        <f aca="false">MID(A442,2,3)</f>
        <v>LAD</v>
      </c>
      <c r="D442" s="0" t="str">
        <f aca="false">LEFT(A442,7)</f>
        <v>JLAD013</v>
      </c>
      <c r="E442" s="0" t="str">
        <f aca="false">RIGHT(A442,1)</f>
        <v>2</v>
      </c>
      <c r="F442" s="0" t="s">
        <v>493</v>
      </c>
      <c r="G442" s="0" t="n">
        <v>1</v>
      </c>
      <c r="H442" s="0" t="n">
        <v>4</v>
      </c>
    </row>
    <row r="443" customFormat="false" ht="15" hidden="false" customHeight="true" outlineLevel="0" collapsed="false">
      <c r="A443" s="0" t="s">
        <v>687</v>
      </c>
      <c r="B443" s="0" t="n">
        <v>3</v>
      </c>
      <c r="C443" s="0" t="str">
        <f aca="false">MID(A443,2,3)</f>
        <v>LAD</v>
      </c>
      <c r="D443" s="0" t="str">
        <f aca="false">LEFT(A443,7)</f>
        <v>JLAD013</v>
      </c>
      <c r="E443" s="0" t="str">
        <f aca="false">RIGHT(A443,1)</f>
        <v>3</v>
      </c>
      <c r="F443" s="0" t="s">
        <v>493</v>
      </c>
      <c r="G443" s="0" t="n">
        <v>1</v>
      </c>
      <c r="H443" s="0" t="n">
        <v>4</v>
      </c>
    </row>
    <row r="444" customFormat="false" ht="15" hidden="false" customHeight="true" outlineLevel="0" collapsed="false">
      <c r="A444" s="0" t="s">
        <v>688</v>
      </c>
      <c r="B444" s="0" t="n">
        <v>3</v>
      </c>
      <c r="C444" s="0" t="str">
        <f aca="false">MID(A444,2,3)</f>
        <v>LAD</v>
      </c>
      <c r="D444" s="0" t="str">
        <f aca="false">LEFT(A444,7)</f>
        <v>JLAD014</v>
      </c>
      <c r="E444" s="0" t="str">
        <f aca="false">RIGHT(A444,1)</f>
        <v>0</v>
      </c>
      <c r="F444" s="0" t="s">
        <v>493</v>
      </c>
      <c r="G444" s="0" t="n">
        <v>1</v>
      </c>
      <c r="H444" s="0" t="n">
        <v>4</v>
      </c>
    </row>
    <row r="445" customFormat="false" ht="15" hidden="false" customHeight="true" outlineLevel="0" collapsed="false">
      <c r="A445" s="0" t="s">
        <v>689</v>
      </c>
      <c r="B445" s="0" t="n">
        <v>3</v>
      </c>
      <c r="C445" s="0" t="str">
        <f aca="false">MID(A445,2,3)</f>
        <v>LAD</v>
      </c>
      <c r="D445" s="0" t="str">
        <f aca="false">LEFT(A445,7)</f>
        <v>JLAD014</v>
      </c>
      <c r="E445" s="0" t="str">
        <f aca="false">RIGHT(A445,1)</f>
        <v>1</v>
      </c>
      <c r="F445" s="0" t="s">
        <v>493</v>
      </c>
      <c r="G445" s="0" t="n">
        <v>1</v>
      </c>
      <c r="H445" s="0" t="n">
        <v>4</v>
      </c>
    </row>
    <row r="446" customFormat="false" ht="15" hidden="false" customHeight="true" outlineLevel="0" collapsed="false">
      <c r="A446" s="0" t="s">
        <v>690</v>
      </c>
      <c r="B446" s="0" t="n">
        <v>3</v>
      </c>
      <c r="C446" s="0" t="str">
        <f aca="false">MID(A446,2,3)</f>
        <v>LAD</v>
      </c>
      <c r="D446" s="0" t="str">
        <f aca="false">LEFT(A446,7)</f>
        <v>JLAD014</v>
      </c>
      <c r="E446" s="0" t="str">
        <f aca="false">RIGHT(A446,1)</f>
        <v>2</v>
      </c>
      <c r="F446" s="0" t="s">
        <v>493</v>
      </c>
      <c r="G446" s="0" t="n">
        <v>1</v>
      </c>
      <c r="H446" s="0" t="n">
        <v>4</v>
      </c>
    </row>
    <row r="447" customFormat="false" ht="15" hidden="false" customHeight="true" outlineLevel="0" collapsed="false">
      <c r="A447" s="0" t="s">
        <v>691</v>
      </c>
      <c r="B447" s="0" t="n">
        <v>3</v>
      </c>
      <c r="C447" s="0" t="str">
        <f aca="false">MID(A447,2,3)</f>
        <v>LAD</v>
      </c>
      <c r="D447" s="0" t="str">
        <f aca="false">LEFT(A447,7)</f>
        <v>JLAD014</v>
      </c>
      <c r="E447" s="0" t="str">
        <f aca="false">RIGHT(A447,1)</f>
        <v>3</v>
      </c>
      <c r="F447" s="0" t="s">
        <v>493</v>
      </c>
      <c r="G447" s="0" t="n">
        <v>1</v>
      </c>
      <c r="H447" s="0" t="n">
        <v>4</v>
      </c>
    </row>
    <row r="448" customFormat="false" ht="15" hidden="false" customHeight="true" outlineLevel="0" collapsed="false">
      <c r="A448" s="0" t="s">
        <v>692</v>
      </c>
      <c r="B448" s="0" t="n">
        <v>3</v>
      </c>
      <c r="C448" s="0" t="str">
        <f aca="false">MID(A448,2,3)</f>
        <v>MAN</v>
      </c>
      <c r="D448" s="0" t="str">
        <f aca="false">LEFT(A448,7)</f>
        <v>JMAN003</v>
      </c>
      <c r="E448" s="0" t="str">
        <f aca="false">RIGHT(A448,1)</f>
        <v>0</v>
      </c>
      <c r="F448" s="0" t="s">
        <v>493</v>
      </c>
      <c r="G448" s="0" t="n">
        <v>1</v>
      </c>
      <c r="H448" s="0" t="n">
        <v>1</v>
      </c>
    </row>
    <row r="449" customFormat="false" ht="15" hidden="false" customHeight="true" outlineLevel="0" collapsed="false">
      <c r="A449" s="0" t="s">
        <v>693</v>
      </c>
      <c r="B449" s="0" t="n">
        <v>3</v>
      </c>
      <c r="C449" s="0" t="str">
        <f aca="false">MID(A449,2,3)</f>
        <v>MAN</v>
      </c>
      <c r="D449" s="0" t="str">
        <f aca="false">LEFT(A449,7)</f>
        <v>JMAN004</v>
      </c>
      <c r="E449" s="0" t="str">
        <f aca="false">RIGHT(A449,1)</f>
        <v>0</v>
      </c>
      <c r="F449" s="0" t="s">
        <v>493</v>
      </c>
      <c r="G449" s="0" t="n">
        <v>1</v>
      </c>
      <c r="H449" s="0" t="n">
        <v>1</v>
      </c>
    </row>
    <row r="450" customFormat="false" ht="15" hidden="false" customHeight="true" outlineLevel="0" collapsed="false">
      <c r="A450" s="0" t="s">
        <v>694</v>
      </c>
      <c r="B450" s="0" t="n">
        <v>3</v>
      </c>
      <c r="C450" s="0" t="str">
        <f aca="false">MID(A450,2,3)</f>
        <v>MER</v>
      </c>
      <c r="D450" s="0" t="str">
        <f aca="false">LEFT(A450,7)</f>
        <v>JMER043</v>
      </c>
      <c r="E450" s="0" t="str">
        <f aca="false">RIGHT(A450,1)</f>
        <v>0</v>
      </c>
      <c r="F450" s="0" t="s">
        <v>493</v>
      </c>
      <c r="G450" s="0" t="n">
        <v>1</v>
      </c>
      <c r="H450" s="0" t="n">
        <v>1</v>
      </c>
    </row>
    <row r="451" customFormat="false" ht="15" hidden="false" customHeight="true" outlineLevel="0" collapsed="false">
      <c r="A451" s="0" t="s">
        <v>695</v>
      </c>
      <c r="B451" s="0" t="n">
        <v>3</v>
      </c>
      <c r="C451" s="0" t="str">
        <f aca="false">MID(A451,2,3)</f>
        <v>MOS</v>
      </c>
      <c r="D451" s="0" t="str">
        <f aca="false">LEFT(A451,7)</f>
        <v>JMOS001</v>
      </c>
      <c r="E451" s="0" t="str">
        <f aca="false">RIGHT(A451,1)</f>
        <v>0</v>
      </c>
      <c r="F451" s="0" t="s">
        <v>493</v>
      </c>
      <c r="G451" s="0" t="n">
        <v>1</v>
      </c>
      <c r="H451" s="0" t="n">
        <v>4</v>
      </c>
    </row>
    <row r="452" customFormat="false" ht="15" hidden="false" customHeight="true" outlineLevel="0" collapsed="false">
      <c r="A452" s="0" t="s">
        <v>696</v>
      </c>
      <c r="B452" s="0" t="n">
        <v>3</v>
      </c>
      <c r="C452" s="0" t="str">
        <f aca="false">MID(A452,2,3)</f>
        <v>MOS</v>
      </c>
      <c r="D452" s="0" t="str">
        <f aca="false">LEFT(A452,7)</f>
        <v>JMOS002</v>
      </c>
      <c r="E452" s="0" t="str">
        <f aca="false">RIGHT(A452,1)</f>
        <v>0</v>
      </c>
      <c r="F452" s="0" t="s">
        <v>493</v>
      </c>
      <c r="G452" s="0" t="n">
        <v>1</v>
      </c>
      <c r="H452" s="0" t="n">
        <v>4</v>
      </c>
    </row>
    <row r="453" customFormat="false" ht="15" hidden="false" customHeight="true" outlineLevel="0" collapsed="false">
      <c r="A453" s="0" t="s">
        <v>697</v>
      </c>
      <c r="B453" s="0" t="n">
        <v>3</v>
      </c>
      <c r="C453" s="0" t="str">
        <f aca="false">MID(A453,2,3)</f>
        <v>MTZ</v>
      </c>
      <c r="D453" s="0" t="str">
        <f aca="false">LEFT(A453,7)</f>
        <v>JMTZ003</v>
      </c>
      <c r="E453" s="0" t="str">
        <f aca="false">RIGHT(A453,1)</f>
        <v>0</v>
      </c>
      <c r="F453" s="0" t="s">
        <v>493</v>
      </c>
      <c r="G453" s="0" t="n">
        <v>1</v>
      </c>
      <c r="H453" s="0" t="n">
        <v>1</v>
      </c>
    </row>
    <row r="454" customFormat="false" ht="15" hidden="false" customHeight="true" outlineLevel="0" collapsed="false">
      <c r="A454" s="0" t="s">
        <v>698</v>
      </c>
      <c r="B454" s="0" t="n">
        <v>3</v>
      </c>
      <c r="C454" s="0" t="str">
        <f aca="false">MID(A454,2,3)</f>
        <v>MTZ</v>
      </c>
      <c r="D454" s="0" t="str">
        <f aca="false">LEFT(A454,7)</f>
        <v>JMTZ003</v>
      </c>
      <c r="E454" s="0" t="str">
        <f aca="false">RIGHT(A454,1)</f>
        <v>0</v>
      </c>
      <c r="F454" s="0" t="s">
        <v>493</v>
      </c>
      <c r="G454" s="0" t="n">
        <v>1</v>
      </c>
      <c r="H454" s="0" t="n">
        <v>1</v>
      </c>
    </row>
    <row r="455" customFormat="false" ht="15" hidden="false" customHeight="true" outlineLevel="0" collapsed="false">
      <c r="A455" s="0" t="s">
        <v>699</v>
      </c>
      <c r="B455" s="0" t="n">
        <v>3</v>
      </c>
      <c r="C455" s="0" t="str">
        <f aca="false">MID(A455,2,3)</f>
        <v>MTZ</v>
      </c>
      <c r="D455" s="0" t="str">
        <f aca="false">LEFT(A455,7)</f>
        <v>JMTZ003</v>
      </c>
      <c r="E455" s="0" t="str">
        <f aca="false">RIGHT(A455,1)</f>
        <v>1</v>
      </c>
      <c r="F455" s="0" t="s">
        <v>493</v>
      </c>
      <c r="G455" s="0" t="n">
        <v>1</v>
      </c>
      <c r="H455" s="0" t="n">
        <v>1</v>
      </c>
    </row>
    <row r="456" customFormat="false" ht="15" hidden="false" customHeight="true" outlineLevel="0" collapsed="false">
      <c r="A456" s="0" t="s">
        <v>700</v>
      </c>
      <c r="B456" s="0" t="n">
        <v>3</v>
      </c>
      <c r="C456" s="0" t="str">
        <f aca="false">MID(A456,2,3)</f>
        <v>MTZ</v>
      </c>
      <c r="D456" s="0" t="str">
        <f aca="false">LEFT(A456,7)</f>
        <v>JMTZ003</v>
      </c>
      <c r="E456" s="0" t="str">
        <f aca="false">RIGHT(A456,1)</f>
        <v>1</v>
      </c>
      <c r="F456" s="0" t="s">
        <v>493</v>
      </c>
      <c r="G456" s="0" t="n">
        <v>1</v>
      </c>
      <c r="H456" s="0" t="n">
        <v>1</v>
      </c>
    </row>
    <row r="457" customFormat="false" ht="15" hidden="false" customHeight="true" outlineLevel="0" collapsed="false">
      <c r="A457" s="0" t="s">
        <v>701</v>
      </c>
      <c r="B457" s="0" t="n">
        <v>3</v>
      </c>
      <c r="C457" s="0" t="str">
        <f aca="false">MID(A457,2,3)</f>
        <v>MTZ</v>
      </c>
      <c r="D457" s="0" t="str">
        <f aca="false">LEFT(A457,7)</f>
        <v>JMTZ003</v>
      </c>
      <c r="E457" s="0" t="str">
        <f aca="false">RIGHT(A457,1)</f>
        <v>2</v>
      </c>
      <c r="F457" s="0" t="s">
        <v>493</v>
      </c>
      <c r="G457" s="0" t="n">
        <v>1</v>
      </c>
      <c r="H457" s="0" t="n">
        <v>1</v>
      </c>
    </row>
    <row r="458" customFormat="false" ht="15" hidden="false" customHeight="true" outlineLevel="0" collapsed="false">
      <c r="A458" s="0" t="s">
        <v>702</v>
      </c>
      <c r="B458" s="0" t="n">
        <v>3</v>
      </c>
      <c r="C458" s="0" t="str">
        <f aca="false">MID(A458,2,3)</f>
        <v>MTZ</v>
      </c>
      <c r="D458" s="0" t="str">
        <f aca="false">LEFT(A458,7)</f>
        <v>JMTZ003</v>
      </c>
      <c r="E458" s="0" t="str">
        <f aca="false">RIGHT(A458,1)</f>
        <v>2</v>
      </c>
      <c r="F458" s="0" t="s">
        <v>493</v>
      </c>
      <c r="G458" s="0" t="n">
        <v>1</v>
      </c>
      <c r="H458" s="0" t="n">
        <v>1</v>
      </c>
    </row>
    <row r="459" customFormat="false" ht="15" hidden="false" customHeight="true" outlineLevel="0" collapsed="false">
      <c r="A459" s="0" t="s">
        <v>703</v>
      </c>
      <c r="B459" s="0" t="n">
        <v>3</v>
      </c>
      <c r="C459" s="0" t="str">
        <f aca="false">MID(A459,2,3)</f>
        <v>OPE</v>
      </c>
      <c r="D459" s="0" t="str">
        <f aca="false">LEFT(A459,7)</f>
        <v>JOPE007</v>
      </c>
      <c r="E459" s="0" t="str">
        <f aca="false">RIGHT(A459,1)</f>
        <v>0</v>
      </c>
      <c r="F459" s="0" t="s">
        <v>493</v>
      </c>
      <c r="G459" s="0" t="n">
        <v>1</v>
      </c>
      <c r="H459" s="0" t="n">
        <v>4</v>
      </c>
    </row>
    <row r="460" customFormat="false" ht="15" hidden="false" customHeight="true" outlineLevel="0" collapsed="false">
      <c r="A460" s="0" t="s">
        <v>704</v>
      </c>
      <c r="B460" s="0" t="n">
        <v>3</v>
      </c>
      <c r="C460" s="0" t="str">
        <f aca="false">MID(A460,2,3)</f>
        <v>OPE</v>
      </c>
      <c r="D460" s="0" t="str">
        <f aca="false">LEFT(A460,7)</f>
        <v>JOPE007</v>
      </c>
      <c r="E460" s="0" t="str">
        <f aca="false">RIGHT(A460,1)</f>
        <v>0</v>
      </c>
      <c r="F460" s="0" t="s">
        <v>493</v>
      </c>
      <c r="G460" s="0" t="n">
        <v>1</v>
      </c>
      <c r="H460" s="0" t="n">
        <v>4</v>
      </c>
    </row>
    <row r="461" customFormat="false" ht="15" hidden="false" customHeight="true" outlineLevel="0" collapsed="false">
      <c r="A461" s="0" t="s">
        <v>705</v>
      </c>
      <c r="B461" s="0" t="n">
        <v>3</v>
      </c>
      <c r="C461" s="0" t="str">
        <f aca="false">MID(A461,2,3)</f>
        <v>OPE</v>
      </c>
      <c r="D461" s="0" t="str">
        <f aca="false">LEFT(A461,7)</f>
        <v>JOPE009</v>
      </c>
      <c r="E461" s="0" t="str">
        <f aca="false">RIGHT(A461,1)</f>
        <v>0</v>
      </c>
      <c r="F461" s="0" t="s">
        <v>493</v>
      </c>
      <c r="G461" s="0" t="n">
        <v>1</v>
      </c>
      <c r="H461" s="0" t="n">
        <v>4</v>
      </c>
    </row>
    <row r="462" customFormat="false" ht="15" hidden="false" customHeight="true" outlineLevel="0" collapsed="false">
      <c r="A462" s="0" t="s">
        <v>706</v>
      </c>
      <c r="B462" s="0" t="n">
        <v>3</v>
      </c>
      <c r="C462" s="0" t="str">
        <f aca="false">MID(A462,2,3)</f>
        <v>OPE</v>
      </c>
      <c r="D462" s="0" t="str">
        <f aca="false">LEFT(A462,7)</f>
        <v>JOPE009</v>
      </c>
      <c r="E462" s="0" t="str">
        <f aca="false">RIGHT(A462,1)</f>
        <v>0</v>
      </c>
      <c r="F462" s="0" t="s">
        <v>493</v>
      </c>
      <c r="G462" s="0" t="n">
        <v>1</v>
      </c>
      <c r="H462" s="0" t="n">
        <v>4</v>
      </c>
    </row>
    <row r="463" customFormat="false" ht="15" hidden="false" customHeight="true" outlineLevel="0" collapsed="false">
      <c r="A463" s="0" t="s">
        <v>707</v>
      </c>
      <c r="B463" s="0" t="n">
        <v>3</v>
      </c>
      <c r="C463" s="0" t="str">
        <f aca="false">MID(A463,2,3)</f>
        <v>REN</v>
      </c>
      <c r="D463" s="0" t="str">
        <f aca="false">LEFT(A463,7)</f>
        <v>JREN005</v>
      </c>
      <c r="E463" s="0" t="str">
        <f aca="false">RIGHT(A463,1)</f>
        <v>0</v>
      </c>
      <c r="F463" s="0" t="s">
        <v>493</v>
      </c>
      <c r="G463" s="0" t="n">
        <v>1</v>
      </c>
      <c r="H463" s="0" t="n">
        <v>4</v>
      </c>
    </row>
    <row r="464" customFormat="false" ht="15" hidden="false" customHeight="true" outlineLevel="0" collapsed="false">
      <c r="A464" s="0" t="s">
        <v>708</v>
      </c>
      <c r="B464" s="0" t="n">
        <v>3</v>
      </c>
      <c r="C464" s="0" t="str">
        <f aca="false">MID(A464,2,3)</f>
        <v>REN</v>
      </c>
      <c r="D464" s="0" t="str">
        <f aca="false">LEFT(A464,7)</f>
        <v>JREN007</v>
      </c>
      <c r="E464" s="0" t="str">
        <f aca="false">RIGHT(A464,1)</f>
        <v>0</v>
      </c>
      <c r="F464" s="0" t="s">
        <v>493</v>
      </c>
      <c r="G464" s="0" t="n">
        <v>1</v>
      </c>
      <c r="H464" s="0" t="n">
        <v>4</v>
      </c>
    </row>
    <row r="465" customFormat="false" ht="15" hidden="false" customHeight="true" outlineLevel="0" collapsed="false">
      <c r="A465" s="0" t="s">
        <v>709</v>
      </c>
      <c r="B465" s="0" t="n">
        <v>3</v>
      </c>
      <c r="C465" s="0" t="str">
        <f aca="false">MID(A465,2,3)</f>
        <v>REN</v>
      </c>
      <c r="D465" s="0" t="str">
        <f aca="false">LEFT(A465,7)</f>
        <v>JREN016</v>
      </c>
      <c r="E465" s="0" t="str">
        <f aca="false">RIGHT(A465,1)</f>
        <v>0</v>
      </c>
      <c r="F465" s="0" t="s">
        <v>493</v>
      </c>
      <c r="G465" s="0" t="n">
        <v>1</v>
      </c>
      <c r="H465" s="0" t="n">
        <v>4</v>
      </c>
    </row>
    <row r="466" customFormat="false" ht="15" hidden="false" customHeight="true" outlineLevel="0" collapsed="false">
      <c r="A466" s="0" t="s">
        <v>710</v>
      </c>
      <c r="B466" s="0" t="n">
        <v>3</v>
      </c>
      <c r="C466" s="0" t="str">
        <f aca="false">MID(A466,2,3)</f>
        <v>SCA</v>
      </c>
      <c r="D466" s="0" t="str">
        <f aca="false">LEFT(A466,7)</f>
        <v>JSCA003</v>
      </c>
      <c r="E466" s="0" t="str">
        <f aca="false">RIGHT(A466,1)</f>
        <v>0</v>
      </c>
      <c r="F466" s="0" t="s">
        <v>493</v>
      </c>
      <c r="G466" s="0" t="n">
        <v>1</v>
      </c>
      <c r="H466" s="0" t="n">
        <v>1</v>
      </c>
    </row>
    <row r="467" customFormat="false" ht="15" hidden="false" customHeight="true" outlineLevel="0" collapsed="false">
      <c r="A467" s="0" t="s">
        <v>711</v>
      </c>
      <c r="B467" s="0" t="n">
        <v>3</v>
      </c>
      <c r="C467" s="0" t="str">
        <f aca="false">MID(A467,2,3)</f>
        <v>SMD</v>
      </c>
      <c r="D467" s="0" t="str">
        <f aca="false">LEFT(A467,7)</f>
        <v>JSMD001</v>
      </c>
      <c r="E467" s="0" t="str">
        <f aca="false">RIGHT(A467,1)</f>
        <v>0</v>
      </c>
      <c r="F467" s="0" t="s">
        <v>493</v>
      </c>
      <c r="G467" s="0" t="n">
        <v>1</v>
      </c>
      <c r="H467" s="0" t="n">
        <v>1</v>
      </c>
    </row>
    <row r="468" customFormat="false" ht="15" hidden="false" customHeight="true" outlineLevel="0" collapsed="false">
      <c r="A468" s="0" t="s">
        <v>712</v>
      </c>
      <c r="B468" s="0" t="n">
        <v>3</v>
      </c>
      <c r="C468" s="0" t="str">
        <f aca="false">MID(A468,2,3)</f>
        <v>SMD</v>
      </c>
      <c r="D468" s="0" t="str">
        <f aca="false">LEFT(A468,7)</f>
        <v>JSMD001</v>
      </c>
      <c r="E468" s="0" t="str">
        <f aca="false">RIGHT(A468,1)</f>
        <v>0</v>
      </c>
      <c r="F468" s="0" t="s">
        <v>493</v>
      </c>
      <c r="G468" s="0" t="n">
        <v>1</v>
      </c>
      <c r="H468" s="0" t="n">
        <v>1</v>
      </c>
    </row>
    <row r="469" customFormat="false" ht="15" hidden="false" customHeight="true" outlineLevel="0" collapsed="false">
      <c r="A469" s="0" t="s">
        <v>713</v>
      </c>
      <c r="B469" s="0" t="n">
        <v>3</v>
      </c>
      <c r="C469" s="0" t="str">
        <f aca="false">MID(A469,2,3)</f>
        <v>TOY</v>
      </c>
      <c r="D469" s="0" t="str">
        <f aca="false">LEFT(A469,7)</f>
        <v>JTOY003</v>
      </c>
      <c r="E469" s="0" t="str">
        <f aca="false">RIGHT(A469,1)</f>
        <v>0</v>
      </c>
      <c r="F469" s="0" t="s">
        <v>493</v>
      </c>
      <c r="G469" s="0" t="n">
        <v>1</v>
      </c>
      <c r="H469" s="0" t="n">
        <v>1</v>
      </c>
    </row>
    <row r="470" customFormat="false" ht="15" hidden="false" customHeight="true" outlineLevel="0" collapsed="false">
      <c r="A470" s="0" t="s">
        <v>714</v>
      </c>
      <c r="B470" s="0" t="n">
        <v>3</v>
      </c>
      <c r="C470" s="0" t="str">
        <f aca="false">MID(A470,2,3)</f>
        <v>VWG</v>
      </c>
      <c r="D470" s="0" t="str">
        <f aca="false">LEFT(A470,7)</f>
        <v>JVWG005</v>
      </c>
      <c r="E470" s="0" t="str">
        <f aca="false">RIGHT(A470,1)</f>
        <v>0</v>
      </c>
      <c r="F470" s="0" t="s">
        <v>493</v>
      </c>
      <c r="G470" s="0" t="n">
        <v>1</v>
      </c>
      <c r="H470" s="0" t="n">
        <v>1</v>
      </c>
    </row>
    <row r="471" customFormat="false" ht="15" hidden="false" customHeight="true" outlineLevel="0" collapsed="false">
      <c r="A471" s="0" t="s">
        <v>715</v>
      </c>
      <c r="B471" s="0" t="n">
        <v>3</v>
      </c>
      <c r="C471" s="0" t="str">
        <f aca="false">MID(A471,2,3)</f>
        <v>VWG</v>
      </c>
      <c r="D471" s="0" t="str">
        <f aca="false">LEFT(A471,7)</f>
        <v>JVWG017</v>
      </c>
      <c r="E471" s="0" t="str">
        <f aca="false">RIGHT(A471,1)</f>
        <v>0</v>
      </c>
      <c r="F471" s="0" t="s">
        <v>493</v>
      </c>
      <c r="G471" s="0" t="n">
        <v>1</v>
      </c>
      <c r="H471" s="0" t="n">
        <v>1</v>
      </c>
    </row>
    <row r="472" customFormat="false" ht="15" hidden="false" customHeight="true" outlineLevel="0" collapsed="false">
      <c r="A472" s="0" t="s">
        <v>716</v>
      </c>
      <c r="B472" s="0" t="n">
        <v>3</v>
      </c>
      <c r="C472" s="0" t="str">
        <f aca="false">MID(A472,2,3)</f>
        <v>VWG</v>
      </c>
      <c r="D472" s="0" t="str">
        <f aca="false">LEFT(A472,7)</f>
        <v>JVWG022</v>
      </c>
      <c r="E472" s="0" t="str">
        <f aca="false">RIGHT(A472,1)</f>
        <v>0</v>
      </c>
      <c r="F472" s="0" t="s">
        <v>493</v>
      </c>
      <c r="G472" s="0" t="n">
        <v>1</v>
      </c>
      <c r="H472" s="0" t="n">
        <v>1</v>
      </c>
    </row>
    <row r="473" customFormat="false" ht="15" hidden="false" customHeight="true" outlineLevel="0" collapsed="false">
      <c r="A473" s="0" t="s">
        <v>717</v>
      </c>
      <c r="B473" s="0" t="n">
        <v>3</v>
      </c>
      <c r="C473" s="0" t="str">
        <f aca="false">MID(A473,2,3)</f>
        <v>VWG</v>
      </c>
      <c r="D473" s="0" t="str">
        <f aca="false">LEFT(A473,7)</f>
        <v>JVWG035</v>
      </c>
      <c r="E473" s="0" t="str">
        <f aca="false">RIGHT(A473,1)</f>
        <v>0</v>
      </c>
      <c r="F473" s="0" t="s">
        <v>493</v>
      </c>
      <c r="G473" s="0" t="n">
        <v>1</v>
      </c>
      <c r="H473" s="0" t="n">
        <v>1</v>
      </c>
    </row>
    <row r="474" customFormat="false" ht="15" hidden="false" customHeight="true" outlineLevel="0" collapsed="false">
      <c r="A474" s="0" t="s">
        <v>718</v>
      </c>
      <c r="B474" s="0" t="n">
        <v>3</v>
      </c>
      <c r="C474" s="0" t="str">
        <f aca="false">MID(A474,2,3)</f>
        <v>WLA</v>
      </c>
      <c r="D474" s="0" t="str">
        <f aca="false">LEFT(A474,7)</f>
        <v>JWLA001</v>
      </c>
      <c r="E474" s="0" t="str">
        <f aca="false">RIGHT(A474,1)</f>
        <v>0</v>
      </c>
      <c r="F474" s="0" t="s">
        <v>493</v>
      </c>
      <c r="G474" s="0" t="n">
        <v>1</v>
      </c>
      <c r="H474" s="0" t="n">
        <v>1</v>
      </c>
    </row>
    <row r="475" customFormat="false" ht="15" hidden="false" customHeight="true" outlineLevel="0" collapsed="false">
      <c r="A475" s="0" t="s">
        <v>719</v>
      </c>
      <c r="B475" s="0" t="n">
        <v>3</v>
      </c>
      <c r="C475" s="0" t="str">
        <f aca="false">MID(A475,2,3)</f>
        <v>WLA</v>
      </c>
      <c r="D475" s="0" t="str">
        <f aca="false">LEFT(A475,7)</f>
        <v>JWLA002</v>
      </c>
      <c r="E475" s="0" t="str">
        <f aca="false">RIGHT(A475,1)</f>
        <v>1</v>
      </c>
      <c r="F475" s="0" t="s">
        <v>493</v>
      </c>
      <c r="G475" s="0" t="n">
        <v>1</v>
      </c>
      <c r="H475" s="0" t="n">
        <v>1</v>
      </c>
    </row>
    <row r="476" customFormat="false" ht="15" hidden="false" customHeight="true" outlineLevel="0" collapsed="false">
      <c r="A476" s="0" t="s">
        <v>720</v>
      </c>
      <c r="B476" s="0" t="n">
        <v>3</v>
      </c>
      <c r="C476" s="0" t="str">
        <f aca="false">MID(A476,2,3)</f>
        <v>WLA</v>
      </c>
      <c r="D476" s="0" t="str">
        <f aca="false">LEFT(A476,7)</f>
        <v>JWLA003</v>
      </c>
      <c r="E476" s="0" t="str">
        <f aca="false">RIGHT(A476,1)</f>
        <v>0</v>
      </c>
      <c r="F476" s="0" t="s">
        <v>493</v>
      </c>
      <c r="G476" s="0" t="n">
        <v>1</v>
      </c>
      <c r="H476" s="0" t="n">
        <v>1</v>
      </c>
    </row>
    <row r="477" customFormat="false" ht="15" hidden="false" customHeight="true" outlineLevel="0" collapsed="false">
      <c r="A477" s="0" t="s">
        <v>721</v>
      </c>
      <c r="B477" s="0" t="n">
        <v>3</v>
      </c>
      <c r="C477" s="0" t="str">
        <f aca="false">MID(A477,2,3)</f>
        <v>WLA</v>
      </c>
      <c r="D477" s="0" t="str">
        <f aca="false">LEFT(A477,7)</f>
        <v>JWLA003</v>
      </c>
      <c r="E477" s="0" t="str">
        <f aca="false">RIGHT(A477,1)</f>
        <v>0</v>
      </c>
      <c r="F477" s="0" t="s">
        <v>493</v>
      </c>
      <c r="G477" s="0" t="n">
        <v>1</v>
      </c>
      <c r="H477" s="0" t="n">
        <v>1</v>
      </c>
    </row>
    <row r="478" customFormat="false" ht="15" hidden="false" customHeight="true" outlineLevel="0" collapsed="false">
      <c r="A478" s="0" t="s">
        <v>722</v>
      </c>
      <c r="B478" s="0" t="n">
        <v>3</v>
      </c>
      <c r="C478" s="0" t="str">
        <f aca="false">MID(A478,2,3)</f>
        <v>WOL</v>
      </c>
      <c r="D478" s="0" t="str">
        <f aca="false">LEFT(A478,7)</f>
        <v>JWOL003</v>
      </c>
      <c r="E478" s="0" t="str">
        <f aca="false">RIGHT(A478,1)</f>
        <v>0</v>
      </c>
      <c r="F478" s="0" t="s">
        <v>493</v>
      </c>
      <c r="G478" s="0" t="n">
        <v>1</v>
      </c>
      <c r="H478" s="0" t="n">
        <v>4</v>
      </c>
    </row>
    <row r="479" customFormat="false" ht="15" hidden="false" customHeight="true" outlineLevel="0" collapsed="false">
      <c r="A479" s="0" t="s">
        <v>723</v>
      </c>
      <c r="B479" s="0" t="n">
        <v>3</v>
      </c>
      <c r="C479" s="0" t="str">
        <f aca="false">MID(A479,2,3)</f>
        <v>WOL</v>
      </c>
      <c r="D479" s="0" t="str">
        <f aca="false">LEFT(A479,7)</f>
        <v>JWOL003</v>
      </c>
      <c r="E479" s="0" t="str">
        <f aca="false">RIGHT(A479,1)</f>
        <v>0</v>
      </c>
      <c r="F479" s="0" t="s">
        <v>493</v>
      </c>
      <c r="G479" s="0" t="n">
        <v>1</v>
      </c>
      <c r="H479" s="0" t="n">
        <v>4</v>
      </c>
    </row>
    <row r="480" customFormat="false" ht="15" hidden="false" customHeight="true" outlineLevel="0" collapsed="false">
      <c r="A480" s="0" t="s">
        <v>724</v>
      </c>
      <c r="B480" s="0" t="n">
        <v>3</v>
      </c>
      <c r="C480" s="0" t="str">
        <f aca="false">MID(A480,2,3)</f>
        <v>WOL</v>
      </c>
      <c r="D480" s="0" t="str">
        <f aca="false">LEFT(A480,7)</f>
        <v>JWOL003</v>
      </c>
      <c r="E480" s="0" t="str">
        <f aca="false">RIGHT(A480,1)</f>
        <v>1</v>
      </c>
      <c r="F480" s="0" t="s">
        <v>493</v>
      </c>
      <c r="G480" s="0" t="n">
        <v>1</v>
      </c>
      <c r="H480" s="0" t="n">
        <v>4</v>
      </c>
    </row>
    <row r="481" customFormat="false" ht="15" hidden="false" customHeight="true" outlineLevel="0" collapsed="false">
      <c r="A481" s="0" t="s">
        <v>725</v>
      </c>
      <c r="B481" s="0" t="n">
        <v>3</v>
      </c>
      <c r="C481" s="0" t="str">
        <f aca="false">MID(A481,2,3)</f>
        <v>WOL</v>
      </c>
      <c r="D481" s="0" t="str">
        <f aca="false">LEFT(A481,7)</f>
        <v>JWOL003</v>
      </c>
      <c r="E481" s="0" t="str">
        <f aca="false">RIGHT(A481,1)</f>
        <v>1</v>
      </c>
      <c r="F481" s="0" t="s">
        <v>493</v>
      </c>
      <c r="G481" s="0" t="n">
        <v>1</v>
      </c>
      <c r="H481" s="0" t="n">
        <v>4</v>
      </c>
    </row>
    <row r="482" customFormat="false" ht="15" hidden="false" customHeight="true" outlineLevel="0" collapsed="false">
      <c r="A482" s="0" t="s">
        <v>726</v>
      </c>
      <c r="B482" s="0" t="n">
        <v>3</v>
      </c>
      <c r="C482" s="0" t="str">
        <f aca="false">MID(A482,2,3)</f>
        <v>WOL</v>
      </c>
      <c r="D482" s="0" t="str">
        <f aca="false">LEFT(A482,7)</f>
        <v>JWOL003</v>
      </c>
      <c r="E482" s="0" t="str">
        <f aca="false">RIGHT(A482,1)</f>
        <v>2</v>
      </c>
      <c r="F482" s="0" t="s">
        <v>493</v>
      </c>
      <c r="G482" s="0" t="n">
        <v>1</v>
      </c>
      <c r="H482" s="0" t="n">
        <v>4</v>
      </c>
    </row>
    <row r="483" customFormat="false" ht="15" hidden="false" customHeight="true" outlineLevel="0" collapsed="false">
      <c r="A483" s="0" t="s">
        <v>727</v>
      </c>
      <c r="B483" s="0" t="n">
        <v>3</v>
      </c>
      <c r="C483" s="0" t="str">
        <f aca="false">MID(A483,2,3)</f>
        <v>WOL</v>
      </c>
      <c r="D483" s="0" t="str">
        <f aca="false">LEFT(A483,7)</f>
        <v>JWOL003</v>
      </c>
      <c r="E483" s="0" t="str">
        <f aca="false">RIGHT(A483,1)</f>
        <v>2</v>
      </c>
      <c r="F483" s="0" t="s">
        <v>493</v>
      </c>
      <c r="G483" s="0" t="n">
        <v>1</v>
      </c>
      <c r="H483" s="0" t="n">
        <v>4</v>
      </c>
    </row>
    <row r="484" customFormat="false" ht="15" hidden="false" customHeight="true" outlineLevel="0" collapsed="false">
      <c r="A484" s="0" t="s">
        <v>728</v>
      </c>
      <c r="B484" s="0" t="n">
        <v>3</v>
      </c>
      <c r="C484" s="0" t="str">
        <f aca="false">MID(A484,2,3)</f>
        <v>WOL</v>
      </c>
      <c r="D484" s="0" t="str">
        <f aca="false">LEFT(A484,7)</f>
        <v>JWOL004</v>
      </c>
      <c r="E484" s="0" t="str">
        <f aca="false">RIGHT(A484,1)</f>
        <v>0</v>
      </c>
      <c r="F484" s="0" t="s">
        <v>493</v>
      </c>
      <c r="G484" s="0" t="n">
        <v>1</v>
      </c>
      <c r="H484" s="0" t="n">
        <v>4</v>
      </c>
    </row>
    <row r="485" customFormat="false" ht="15" hidden="false" customHeight="true" outlineLevel="0" collapsed="false">
      <c r="A485" s="0" t="s">
        <v>729</v>
      </c>
      <c r="B485" s="0" t="n">
        <v>3</v>
      </c>
      <c r="C485" s="0" t="str">
        <f aca="false">MID(A485,2,3)</f>
        <v>WOL</v>
      </c>
      <c r="D485" s="0" t="str">
        <f aca="false">LEFT(A485,7)</f>
        <v>JWOL004</v>
      </c>
      <c r="E485" s="0" t="str">
        <f aca="false">RIGHT(A485,1)</f>
        <v>0</v>
      </c>
      <c r="F485" s="0" t="s">
        <v>493</v>
      </c>
      <c r="G485" s="0" t="n">
        <v>1</v>
      </c>
      <c r="H485" s="0" t="n">
        <v>4</v>
      </c>
    </row>
    <row r="486" customFormat="false" ht="15" hidden="false" customHeight="true" outlineLevel="0" collapsed="false">
      <c r="A486" s="0" t="s">
        <v>730</v>
      </c>
      <c r="B486" s="0" t="n">
        <v>3</v>
      </c>
      <c r="C486" s="0" t="str">
        <f aca="false">MID(A486,2,3)</f>
        <v>WOL</v>
      </c>
      <c r="D486" s="0" t="str">
        <f aca="false">LEFT(A486,7)</f>
        <v>JWOL004</v>
      </c>
      <c r="E486" s="0" t="str">
        <f aca="false">RIGHT(A486,1)</f>
        <v>1</v>
      </c>
      <c r="F486" s="0" t="s">
        <v>493</v>
      </c>
      <c r="G486" s="0" t="n">
        <v>1</v>
      </c>
      <c r="H486" s="0" t="n">
        <v>4</v>
      </c>
    </row>
    <row r="487" customFormat="false" ht="15" hidden="false" customHeight="true" outlineLevel="0" collapsed="false">
      <c r="A487" s="0" t="s">
        <v>731</v>
      </c>
      <c r="B487" s="0" t="n">
        <v>3</v>
      </c>
      <c r="C487" s="0" t="str">
        <f aca="false">MID(A487,2,3)</f>
        <v>WOL</v>
      </c>
      <c r="D487" s="0" t="str">
        <f aca="false">LEFT(A487,7)</f>
        <v>JWOL004</v>
      </c>
      <c r="E487" s="0" t="str">
        <f aca="false">RIGHT(A487,1)</f>
        <v>1</v>
      </c>
      <c r="F487" s="0" t="s">
        <v>493</v>
      </c>
      <c r="G487" s="0" t="n">
        <v>1</v>
      </c>
      <c r="H487" s="0" t="n">
        <v>4</v>
      </c>
    </row>
    <row r="488" customFormat="false" ht="15" hidden="false" customHeight="true" outlineLevel="0" collapsed="false">
      <c r="A488" s="0" t="s">
        <v>732</v>
      </c>
      <c r="B488" s="0" t="n">
        <v>3</v>
      </c>
      <c r="C488" s="0" t="str">
        <f aca="false">MID(A488,2,3)</f>
        <v>WOL</v>
      </c>
      <c r="D488" s="0" t="str">
        <f aca="false">LEFT(A488,7)</f>
        <v>JWOL004</v>
      </c>
      <c r="E488" s="0" t="str">
        <f aca="false">RIGHT(A488,1)</f>
        <v>2</v>
      </c>
      <c r="F488" s="0" t="s">
        <v>493</v>
      </c>
      <c r="G488" s="0" t="n">
        <v>1</v>
      </c>
      <c r="H488" s="0" t="n">
        <v>4</v>
      </c>
    </row>
    <row r="489" customFormat="false" ht="15" hidden="false" customHeight="true" outlineLevel="0" collapsed="false">
      <c r="A489" s="0" t="s">
        <v>733</v>
      </c>
      <c r="B489" s="0" t="n">
        <v>3</v>
      </c>
      <c r="C489" s="0" t="str">
        <f aca="false">MID(A489,2,3)</f>
        <v>WOL</v>
      </c>
      <c r="D489" s="0" t="str">
        <f aca="false">LEFT(A489,7)</f>
        <v>JWOL004</v>
      </c>
      <c r="E489" s="0" t="str">
        <f aca="false">RIGHT(A489,1)</f>
        <v>2</v>
      </c>
      <c r="F489" s="0" t="s">
        <v>493</v>
      </c>
      <c r="G489" s="0" t="n">
        <v>1</v>
      </c>
      <c r="H489" s="0" t="n">
        <v>4</v>
      </c>
    </row>
    <row r="490" customFormat="false" ht="15" hidden="false" customHeight="true" outlineLevel="0" collapsed="false">
      <c r="A490" s="0" t="s">
        <v>734</v>
      </c>
      <c r="B490" s="0" t="n">
        <v>3</v>
      </c>
      <c r="C490" s="0" t="str">
        <f aca="false">MID(A490,2,3)</f>
        <v>YAM</v>
      </c>
      <c r="D490" s="0" t="str">
        <f aca="false">LEFT(A490,7)</f>
        <v>JYAM001</v>
      </c>
      <c r="E490" s="0" t="str">
        <f aca="false">RIGHT(A490,1)</f>
        <v>0</v>
      </c>
      <c r="F490" s="0" t="s">
        <v>493</v>
      </c>
      <c r="G490" s="0" t="n">
        <v>1</v>
      </c>
      <c r="H490" s="0" t="n">
        <v>1</v>
      </c>
    </row>
    <row r="491" customFormat="false" ht="15" hidden="false" customHeight="true" outlineLevel="0" collapsed="false">
      <c r="A491" s="0" t="s">
        <v>735</v>
      </c>
      <c r="B491" s="0" t="n">
        <v>3</v>
      </c>
      <c r="C491" s="0" t="str">
        <f aca="false">MID(A491,2,3)</f>
        <v>YAM</v>
      </c>
      <c r="D491" s="0" t="str">
        <f aca="false">LEFT(A491,7)</f>
        <v>JYAM001</v>
      </c>
      <c r="E491" s="0" t="str">
        <f aca="false">RIGHT(A491,1)</f>
        <v>0</v>
      </c>
      <c r="F491" s="0" t="s">
        <v>493</v>
      </c>
      <c r="G491" s="0" t="n">
        <v>1</v>
      </c>
      <c r="H491" s="0" t="n">
        <v>1</v>
      </c>
    </row>
    <row r="492" customFormat="false" ht="15" hidden="false" customHeight="true" outlineLevel="0" collapsed="false">
      <c r="A492" s="0" t="s">
        <v>736</v>
      </c>
      <c r="B492" s="0" t="n">
        <v>3</v>
      </c>
      <c r="C492" s="0" t="str">
        <f aca="false">MID(A492,2,3)</f>
        <v>ZAZ</v>
      </c>
      <c r="D492" s="0" t="str">
        <f aca="false">LEFT(A492,7)</f>
        <v>JZAZ003</v>
      </c>
      <c r="E492" s="0" t="str">
        <f aca="false">RIGHT(A492,1)</f>
        <v>0</v>
      </c>
      <c r="F492" s="0" t="s">
        <v>493</v>
      </c>
      <c r="G492" s="0" t="n">
        <v>1</v>
      </c>
      <c r="H492" s="0" t="n">
        <v>4</v>
      </c>
    </row>
    <row r="493" customFormat="false" ht="15" hidden="false" customHeight="true" outlineLevel="0" collapsed="false">
      <c r="A493" s="0" t="s">
        <v>737</v>
      </c>
      <c r="B493" s="0" t="n">
        <v>3</v>
      </c>
      <c r="C493" s="0" t="str">
        <f aca="false">MID(A493,2,3)</f>
        <v>ZAZ</v>
      </c>
      <c r="D493" s="0" t="str">
        <f aca="false">LEFT(A493,7)</f>
        <v>JZAZ004</v>
      </c>
      <c r="E493" s="0" t="str">
        <f aca="false">RIGHT(A493,1)</f>
        <v>0</v>
      </c>
      <c r="F493" s="0" t="s">
        <v>493</v>
      </c>
      <c r="G493" s="0" t="n">
        <v>1</v>
      </c>
      <c r="H493" s="0" t="n">
        <v>4</v>
      </c>
    </row>
    <row r="494" customFormat="false" ht="15" hidden="false" customHeight="true" outlineLevel="0" collapsed="false">
      <c r="A494" s="0" t="s">
        <v>738</v>
      </c>
      <c r="B494" s="0" t="n">
        <v>3</v>
      </c>
      <c r="C494" s="0" t="str">
        <f aca="false">MID(A494,2,3)</f>
        <v>ZIL</v>
      </c>
      <c r="D494" s="0" t="str">
        <f aca="false">LEFT(A494,7)</f>
        <v>JZIL001</v>
      </c>
      <c r="E494" s="0" t="str">
        <f aca="false">RIGHT(A494,1)</f>
        <v>0</v>
      </c>
      <c r="F494" s="0" t="s">
        <v>493</v>
      </c>
      <c r="G494" s="0" t="n">
        <v>1</v>
      </c>
      <c r="H494" s="0" t="n">
        <v>1</v>
      </c>
    </row>
    <row r="495" customFormat="false" ht="15" hidden="false" customHeight="true" outlineLevel="0" collapsed="false">
      <c r="A495" s="0" t="s">
        <v>739</v>
      </c>
      <c r="B495" s="0" t="n">
        <v>3</v>
      </c>
      <c r="C495" s="0" t="str">
        <f aca="false">MID(A495,2,3)</f>
        <v>ZIL</v>
      </c>
      <c r="D495" s="0" t="str">
        <f aca="false">LEFT(A495,7)</f>
        <v>JZIL001</v>
      </c>
      <c r="E495" s="0" t="str">
        <f aca="false">RIGHT(A495,1)</f>
        <v>0</v>
      </c>
      <c r="F495" s="0" t="s">
        <v>493</v>
      </c>
      <c r="G495" s="0" t="n">
        <v>1</v>
      </c>
      <c r="H495" s="0" t="n">
        <v>1</v>
      </c>
    </row>
    <row r="496" customFormat="false" ht="15" hidden="false" customHeight="true" outlineLevel="0" collapsed="false">
      <c r="A496" s="0" t="s">
        <v>740</v>
      </c>
      <c r="B496" s="0" t="n">
        <v>3</v>
      </c>
      <c r="C496" s="0" t="str">
        <f aca="false">MID(A496,2,3)</f>
        <v>ZIL</v>
      </c>
      <c r="D496" s="0" t="str">
        <f aca="false">LEFT(A496,7)</f>
        <v>JZIL001</v>
      </c>
      <c r="E496" s="0" t="str">
        <f aca="false">RIGHT(A496,1)</f>
        <v>1</v>
      </c>
      <c r="F496" s="0" t="s">
        <v>493</v>
      </c>
      <c r="G496" s="0" t="n">
        <v>1</v>
      </c>
      <c r="H496" s="0" t="n">
        <v>1</v>
      </c>
    </row>
    <row r="497" customFormat="false" ht="15" hidden="false" customHeight="true" outlineLevel="0" collapsed="false">
      <c r="A497" s="0" t="s">
        <v>741</v>
      </c>
      <c r="B497" s="0" t="n">
        <v>3</v>
      </c>
      <c r="C497" s="0" t="str">
        <f aca="false">MID(A497,2,3)</f>
        <v>ZIL</v>
      </c>
      <c r="D497" s="0" t="str">
        <f aca="false">LEFT(A497,7)</f>
        <v>JZIL001</v>
      </c>
      <c r="E497" s="0" t="str">
        <f aca="false">RIGHT(A497,1)</f>
        <v>1</v>
      </c>
      <c r="F497" s="0" t="s">
        <v>493</v>
      </c>
      <c r="G497" s="0" t="n">
        <v>1</v>
      </c>
      <c r="H497" s="0" t="n">
        <v>1</v>
      </c>
    </row>
    <row r="498" customFormat="false" ht="15" hidden="false" customHeight="true" outlineLevel="0" collapsed="false">
      <c r="A498" s="0" t="s">
        <v>742</v>
      </c>
      <c r="B498" s="0" t="n">
        <v>3</v>
      </c>
      <c r="C498" s="0" t="str">
        <f aca="false">MID(A498,2,3)</f>
        <v>ZIL</v>
      </c>
      <c r="D498" s="0" t="str">
        <f aca="false">LEFT(A498,7)</f>
        <v>JZIL001</v>
      </c>
      <c r="E498" s="0" t="str">
        <f aca="false">RIGHT(A498,1)</f>
        <v>2</v>
      </c>
      <c r="F498" s="0" t="s">
        <v>493</v>
      </c>
      <c r="G498" s="0" t="n">
        <v>1</v>
      </c>
      <c r="H498" s="0" t="n">
        <v>1</v>
      </c>
    </row>
    <row r="499" customFormat="false" ht="15" hidden="false" customHeight="true" outlineLevel="0" collapsed="false">
      <c r="A499" s="0" t="s">
        <v>743</v>
      </c>
      <c r="B499" s="0" t="n">
        <v>3</v>
      </c>
      <c r="C499" s="0" t="str">
        <f aca="false">MID(A499,2,3)</f>
        <v>ZIL</v>
      </c>
      <c r="D499" s="0" t="str">
        <f aca="false">LEFT(A499,7)</f>
        <v>JZIL001</v>
      </c>
      <c r="E499" s="0" t="str">
        <f aca="false">RIGHT(A499,1)</f>
        <v>2</v>
      </c>
      <c r="F499" s="0" t="s">
        <v>493</v>
      </c>
      <c r="G499" s="0" t="n">
        <v>1</v>
      </c>
      <c r="H499" s="0" t="n">
        <v>1</v>
      </c>
    </row>
    <row r="500" customFormat="false" ht="15" hidden="false" customHeight="true" outlineLevel="0" collapsed="false">
      <c r="A500" s="0" t="s">
        <v>744</v>
      </c>
      <c r="B500" s="0" t="n">
        <v>3</v>
      </c>
      <c r="C500" s="0" t="str">
        <f aca="false">MID(A500,2,3)</f>
        <v>ZIL</v>
      </c>
      <c r="D500" s="0" t="str">
        <f aca="false">LEFT(A500,7)</f>
        <v>JZIL002</v>
      </c>
      <c r="E500" s="0" t="str">
        <f aca="false">RIGHT(A500,1)</f>
        <v>0</v>
      </c>
      <c r="F500" s="0" t="s">
        <v>493</v>
      </c>
      <c r="G500" s="0" t="n">
        <v>1</v>
      </c>
      <c r="H500" s="0" t="n">
        <v>1</v>
      </c>
    </row>
    <row r="501" customFormat="false" ht="15" hidden="false" customHeight="true" outlineLevel="0" collapsed="false">
      <c r="A501" s="0" t="s">
        <v>745</v>
      </c>
      <c r="B501" s="0" t="n">
        <v>3</v>
      </c>
      <c r="C501" s="0" t="str">
        <f aca="false">MID(A501,2,3)</f>
        <v>ZIL</v>
      </c>
      <c r="D501" s="0" t="str">
        <f aca="false">LEFT(A501,7)</f>
        <v>JZIL002</v>
      </c>
      <c r="E501" s="0" t="str">
        <f aca="false">RIGHT(A501,1)</f>
        <v>0</v>
      </c>
      <c r="F501" s="0" t="s">
        <v>493</v>
      </c>
      <c r="G501" s="0" t="n">
        <v>1</v>
      </c>
      <c r="H501" s="0" t="n">
        <v>1</v>
      </c>
    </row>
    <row r="502" customFormat="false" ht="15" hidden="false" customHeight="true" outlineLevel="0" collapsed="false">
      <c r="A502" s="0" t="s">
        <v>746</v>
      </c>
      <c r="B502" s="0" t="n">
        <v>3</v>
      </c>
      <c r="C502" s="0" t="str">
        <f aca="false">MID(A502,2,3)</f>
        <v>ZIL</v>
      </c>
      <c r="D502" s="0" t="str">
        <f aca="false">LEFT(A502,7)</f>
        <v>JZIL002</v>
      </c>
      <c r="E502" s="0" t="str">
        <f aca="false">RIGHT(A502,1)</f>
        <v>1</v>
      </c>
      <c r="F502" s="0" t="s">
        <v>493</v>
      </c>
      <c r="G502" s="0" t="n">
        <v>1</v>
      </c>
      <c r="H502" s="0" t="n">
        <v>1</v>
      </c>
    </row>
    <row r="503" customFormat="false" ht="15" hidden="false" customHeight="true" outlineLevel="0" collapsed="false">
      <c r="A503" s="0" t="s">
        <v>747</v>
      </c>
      <c r="B503" s="0" t="n">
        <v>3</v>
      </c>
      <c r="C503" s="0" t="str">
        <f aca="false">MID(A503,2,3)</f>
        <v>ZIL</v>
      </c>
      <c r="D503" s="0" t="str">
        <f aca="false">LEFT(A503,7)</f>
        <v>JZIL002</v>
      </c>
      <c r="E503" s="0" t="str">
        <f aca="false">RIGHT(A503,1)</f>
        <v>1</v>
      </c>
      <c r="F503" s="0" t="s">
        <v>493</v>
      </c>
      <c r="G503" s="0" t="n">
        <v>1</v>
      </c>
      <c r="H503" s="0" t="n">
        <v>1</v>
      </c>
    </row>
    <row r="504" customFormat="false" ht="15" hidden="false" customHeight="true" outlineLevel="0" collapsed="false">
      <c r="A504" s="0" t="s">
        <v>748</v>
      </c>
      <c r="B504" s="0" t="n">
        <v>3</v>
      </c>
      <c r="C504" s="0" t="str">
        <f aca="false">MID(A504,2,3)</f>
        <v>ZIL</v>
      </c>
      <c r="D504" s="0" t="str">
        <f aca="false">LEFT(A504,7)</f>
        <v>JZIL002</v>
      </c>
      <c r="E504" s="0" t="str">
        <f aca="false">RIGHT(A504,1)</f>
        <v>2</v>
      </c>
      <c r="F504" s="0" t="s">
        <v>493</v>
      </c>
      <c r="G504" s="0" t="n">
        <v>1</v>
      </c>
      <c r="H504" s="0" t="n">
        <v>1</v>
      </c>
    </row>
    <row r="505" customFormat="false" ht="15" hidden="false" customHeight="true" outlineLevel="0" collapsed="false">
      <c r="A505" s="0" t="s">
        <v>749</v>
      </c>
      <c r="B505" s="0" t="n">
        <v>3</v>
      </c>
      <c r="C505" s="0" t="str">
        <f aca="false">MID(A505,2,3)</f>
        <v>ZIL</v>
      </c>
      <c r="D505" s="0" t="str">
        <f aca="false">LEFT(A505,7)</f>
        <v>JZIL002</v>
      </c>
      <c r="E505" s="0" t="str">
        <f aca="false">RIGHT(A505,1)</f>
        <v>2</v>
      </c>
      <c r="F505" s="0" t="s">
        <v>493</v>
      </c>
      <c r="G505" s="0" t="n">
        <v>1</v>
      </c>
      <c r="H505" s="0" t="n">
        <v>1</v>
      </c>
    </row>
    <row r="506" customFormat="false" ht="15" hidden="false" customHeight="true" outlineLevel="0" collapsed="false">
      <c r="A506" s="4" t="s">
        <v>750</v>
      </c>
      <c r="B506" s="0" t="n">
        <v>4</v>
      </c>
      <c r="C506" s="0" t="str">
        <f aca="false">MID(A506,2,3)</f>
        <v>DAE</v>
      </c>
      <c r="D506" s="0" t="str">
        <f aca="false">LEFT(A506,7)</f>
        <v>XDAE-53</v>
      </c>
      <c r="E506" s="0" t="str">
        <f aca="false">IFERROR(RIGHT(A506,LEN(A506)-8),"")</f>
        <v/>
      </c>
      <c r="F506" s="4" t="s">
        <v>493</v>
      </c>
      <c r="G506" s="0" t="n">
        <v>1</v>
      </c>
      <c r="H506" s="0" t="e">
        <f aca="false">#REF!</f>
        <v>#REF!</v>
      </c>
    </row>
    <row r="507" customFormat="false" ht="15" hidden="false" customHeight="true" outlineLevel="0" collapsed="false">
      <c r="A507" s="4" t="s">
        <v>751</v>
      </c>
      <c r="B507" s="0" t="n">
        <v>4</v>
      </c>
      <c r="C507" s="0" t="str">
        <f aca="false">MID(A507,2,3)</f>
        <v>DAE</v>
      </c>
      <c r="D507" s="0" t="str">
        <f aca="false">LEFT(A507,7)</f>
        <v>XDAE-55</v>
      </c>
      <c r="E507" s="0" t="str">
        <f aca="false">IFERROR(RIGHT(A507,LEN(A507)-8),"")</f>
        <v/>
      </c>
      <c r="F507" s="4" t="s">
        <v>493</v>
      </c>
      <c r="G507" s="0" t="n">
        <v>1</v>
      </c>
      <c r="H507" s="0" t="e">
        <f aca="false">#REF!</f>
        <v>#REF!</v>
      </c>
    </row>
    <row r="508" customFormat="false" ht="15" hidden="false" customHeight="true" outlineLevel="0" collapsed="false">
      <c r="A508" s="4" t="s">
        <v>752</v>
      </c>
      <c r="B508" s="0" t="n">
        <v>4</v>
      </c>
      <c r="C508" s="0" t="str">
        <f aca="false">MID(A508,2,3)</f>
        <v>KAM</v>
      </c>
      <c r="D508" s="0" t="str">
        <f aca="false">LEFT(A508,7)</f>
        <v>XKAM-95</v>
      </c>
      <c r="E508" s="0" t="str">
        <f aca="false">IFERROR(RIGHT(A508,LEN(A508)-8),"")</f>
        <v/>
      </c>
      <c r="F508" s="4" t="s">
        <v>493</v>
      </c>
      <c r="G508" s="0" t="n">
        <v>1</v>
      </c>
      <c r="H508" s="0" t="e">
        <f aca="false">#REF!</f>
        <v>#REF!</v>
      </c>
    </row>
    <row r="509" customFormat="false" ht="15" hidden="false" customHeight="true" outlineLevel="0" collapsed="false">
      <c r="A509" s="4" t="s">
        <v>753</v>
      </c>
      <c r="B509" s="0" t="n">
        <v>4</v>
      </c>
      <c r="C509" s="0" t="str">
        <f aca="false">MID(A509,2,3)</f>
        <v>LAD</v>
      </c>
      <c r="D509" s="0" t="str">
        <f aca="false">LEFT(A509,7)</f>
        <v>XLAD-53</v>
      </c>
      <c r="E509" s="0" t="str">
        <f aca="false">IFERROR(RIGHT(A509,LEN(A509)-8),"")</f>
        <v/>
      </c>
      <c r="F509" s="4" t="s">
        <v>493</v>
      </c>
      <c r="G509" s="0" t="n">
        <v>1</v>
      </c>
      <c r="H509" s="0" t="e">
        <f aca="false">#REF!</f>
        <v>#REF!</v>
      </c>
    </row>
    <row r="510" customFormat="false" ht="15" hidden="false" customHeight="true" outlineLevel="0" collapsed="false">
      <c r="A510" s="4" t="s">
        <v>754</v>
      </c>
      <c r="B510" s="0" t="n">
        <v>4</v>
      </c>
      <c r="C510" s="0" t="str">
        <f aca="false">MID(A510,2,3)</f>
        <v>LAD</v>
      </c>
      <c r="D510" s="0" t="str">
        <f aca="false">LEFT(A510,7)</f>
        <v>XLAD-61</v>
      </c>
      <c r="E510" s="0" t="str">
        <f aca="false">IFERROR(RIGHT(A510,LEN(A510)-8),"")</f>
        <v>BLUE</v>
      </c>
      <c r="F510" s="4" t="s">
        <v>493</v>
      </c>
      <c r="G510" s="0" t="n">
        <v>1</v>
      </c>
      <c r="H510" s="0" t="e">
        <f aca="false">#REF!</f>
        <v>#REF!</v>
      </c>
    </row>
    <row r="511" customFormat="false" ht="15" hidden="false" customHeight="true" outlineLevel="0" collapsed="false">
      <c r="A511" s="4" t="s">
        <v>755</v>
      </c>
      <c r="B511" s="0" t="n">
        <v>4</v>
      </c>
      <c r="C511" s="0" t="str">
        <f aca="false">MID(A511,2,3)</f>
        <v>LAD</v>
      </c>
      <c r="D511" s="0" t="str">
        <f aca="false">LEFT(A511,7)</f>
        <v>XLAD-61</v>
      </c>
      <c r="E511" s="0" t="str">
        <f aca="false">IFERROR(RIGHT(A511,LEN(A511)-8),"")</f>
        <v>GREEN</v>
      </c>
      <c r="F511" s="4" t="s">
        <v>493</v>
      </c>
      <c r="G511" s="0" t="n">
        <v>1</v>
      </c>
      <c r="H511" s="0" t="e">
        <f aca="false">#REF!</f>
        <v>#REF!</v>
      </c>
    </row>
    <row r="512" customFormat="false" ht="15" hidden="false" customHeight="true" outlineLevel="0" collapsed="false">
      <c r="A512" s="4" t="s">
        <v>756</v>
      </c>
      <c r="B512" s="0" t="n">
        <v>4</v>
      </c>
      <c r="C512" s="0" t="str">
        <f aca="false">MID(A512,2,3)</f>
        <v>LAD</v>
      </c>
      <c r="D512" s="0" t="str">
        <f aca="false">LEFT(A512,7)</f>
        <v>XLAD-61</v>
      </c>
      <c r="E512" s="0" t="str">
        <f aca="false">IFERROR(RIGHT(A512,LEN(A512)-8),"")</f>
        <v>RED</v>
      </c>
      <c r="F512" s="4" t="s">
        <v>493</v>
      </c>
      <c r="G512" s="0" t="n">
        <v>1</v>
      </c>
      <c r="H512" s="0" t="e">
        <f aca="false">#REF!</f>
        <v>#REF!</v>
      </c>
    </row>
    <row r="513" customFormat="false" ht="15" hidden="false" customHeight="true" outlineLevel="0" collapsed="false">
      <c r="A513" s="4" t="s">
        <v>757</v>
      </c>
      <c r="B513" s="0" t="n">
        <v>4</v>
      </c>
      <c r="C513" s="0" t="str">
        <f aca="false">MID(A513,2,3)</f>
        <v>LAD</v>
      </c>
      <c r="D513" s="0" t="str">
        <f aca="false">LEFT(A513,7)</f>
        <v>XLAD-67</v>
      </c>
      <c r="E513" s="0" t="str">
        <f aca="false">IFERROR(RIGHT(A513,LEN(A513)-8),"")</f>
        <v>BLUE</v>
      </c>
      <c r="F513" s="4" t="s">
        <v>493</v>
      </c>
      <c r="G513" s="0" t="n">
        <v>1</v>
      </c>
      <c r="H513" s="0" t="e">
        <f aca="false">#REF!</f>
        <v>#REF!</v>
      </c>
    </row>
    <row r="514" customFormat="false" ht="15" hidden="false" customHeight="true" outlineLevel="0" collapsed="false">
      <c r="A514" s="4" t="s">
        <v>758</v>
      </c>
      <c r="B514" s="0" t="n">
        <v>4</v>
      </c>
      <c r="C514" s="0" t="str">
        <f aca="false">MID(A514,2,3)</f>
        <v>LAD</v>
      </c>
      <c r="D514" s="0" t="str">
        <f aca="false">LEFT(A514,7)</f>
        <v>XLAD-67</v>
      </c>
      <c r="E514" s="0" t="str">
        <f aca="false">IFERROR(RIGHT(A514,LEN(A514)-8),"")</f>
        <v>GREEN</v>
      </c>
      <c r="F514" s="4" t="s">
        <v>493</v>
      </c>
      <c r="G514" s="0" t="n">
        <v>1</v>
      </c>
      <c r="H514" s="0" t="e">
        <f aca="false">#REF!</f>
        <v>#REF!</v>
      </c>
    </row>
    <row r="515" customFormat="false" ht="15" hidden="false" customHeight="true" outlineLevel="0" collapsed="false">
      <c r="A515" s="4" t="s">
        <v>759</v>
      </c>
      <c r="B515" s="0" t="n">
        <v>4</v>
      </c>
      <c r="C515" s="0" t="str">
        <f aca="false">MID(A515,2,3)</f>
        <v>LAD</v>
      </c>
      <c r="D515" s="0" t="str">
        <f aca="false">LEFT(A515,7)</f>
        <v>XLAD-67</v>
      </c>
      <c r="E515" s="0" t="str">
        <f aca="false">IFERROR(RIGHT(A515,LEN(A515)-8),"")</f>
        <v>RED</v>
      </c>
      <c r="F515" s="4" t="s">
        <v>493</v>
      </c>
      <c r="G515" s="0" t="n">
        <v>1</v>
      </c>
      <c r="H515" s="0" t="e">
        <f aca="false">#REF!</f>
        <v>#REF!</v>
      </c>
    </row>
    <row r="516" customFormat="false" ht="15" hidden="false" customHeight="true" outlineLevel="0" collapsed="false">
      <c r="A516" s="4" t="s">
        <v>760</v>
      </c>
      <c r="B516" s="0" t="n">
        <v>4</v>
      </c>
      <c r="C516" s="0" t="str">
        <f aca="false">MID(A516,2,3)</f>
        <v>MTZ</v>
      </c>
      <c r="D516" s="0" t="str">
        <f aca="false">LEFT(A516,7)</f>
        <v>XMTZ-92</v>
      </c>
      <c r="E516" s="0" t="str">
        <f aca="false">IFERROR(RIGHT(A516,LEN(A516)-8),"")</f>
        <v/>
      </c>
      <c r="F516" s="4" t="s">
        <v>493</v>
      </c>
      <c r="G516" s="0" t="n">
        <v>1</v>
      </c>
      <c r="H516" s="0" t="e">
        <f aca="false">#REF!</f>
        <v>#REF!</v>
      </c>
    </row>
    <row r="517" customFormat="false" ht="15" hidden="false" customHeight="true" outlineLevel="0" collapsed="false">
      <c r="A517" s="4" t="s">
        <v>761</v>
      </c>
      <c r="B517" s="0" t="n">
        <v>4</v>
      </c>
      <c r="C517" s="0" t="str">
        <f aca="false">MID(A517,2,3)</f>
        <v>UAZ</v>
      </c>
      <c r="D517" s="0" t="str">
        <f aca="false">LEFT(A517,7)</f>
        <v>XUAZ-66</v>
      </c>
      <c r="E517" s="0" t="str">
        <f aca="false">IFERROR(RIGHT(A517,LEN(A517)-8),"")</f>
        <v>GREEN</v>
      </c>
      <c r="F517" s="4" t="s">
        <v>493</v>
      </c>
      <c r="G517" s="0" t="n">
        <v>1</v>
      </c>
      <c r="H517" s="0" t="e">
        <f aca="false">#REF!</f>
        <v>#REF!</v>
      </c>
    </row>
    <row r="518" customFormat="false" ht="15" hidden="false" customHeight="true" outlineLevel="0" collapsed="false">
      <c r="A518" s="4" t="s">
        <v>762</v>
      </c>
      <c r="B518" s="0" t="n">
        <v>4</v>
      </c>
      <c r="C518" s="0" t="str">
        <f aca="false">MID(A518,2,3)</f>
        <v>UAZ</v>
      </c>
      <c r="D518" s="0" t="str">
        <f aca="false">LEFT(A518,7)</f>
        <v>XUAZ-66</v>
      </c>
      <c r="E518" s="0" t="str">
        <f aca="false">IFERROR(RIGHT(A518,LEN(A518)-8),"")</f>
        <v>RED</v>
      </c>
      <c r="F518" s="4" t="s">
        <v>493</v>
      </c>
      <c r="G518" s="0" t="n">
        <v>1</v>
      </c>
      <c r="H518" s="0" t="e">
        <f aca="false">#REF!</f>
        <v>#REF!</v>
      </c>
    </row>
    <row r="519" customFormat="false" ht="15" hidden="false" customHeight="true" outlineLevel="0" collapsed="false">
      <c r="A519" s="4" t="s">
        <v>763</v>
      </c>
      <c r="B519" s="0" t="n">
        <v>4</v>
      </c>
      <c r="C519" s="0" t="str">
        <f aca="false">MID(A519,2,3)</f>
        <v>UAZ</v>
      </c>
      <c r="D519" s="0" t="str">
        <f aca="false">LEFT(A519,7)</f>
        <v>XUAZ-66</v>
      </c>
      <c r="E519" s="0" t="str">
        <f aca="false">IFERROR(RIGHT(A519,LEN(A519)-8),"")</f>
        <v>WHITE</v>
      </c>
      <c r="F519" s="4" t="s">
        <v>493</v>
      </c>
      <c r="G519" s="0" t="n">
        <v>1</v>
      </c>
      <c r="H519" s="0" t="e">
        <f aca="false">#REF!</f>
        <v>#REF!</v>
      </c>
    </row>
    <row r="520" customFormat="false" ht="15" hidden="false" customHeight="true" outlineLevel="0" collapsed="false">
      <c r="A520" s="4" t="s">
        <v>764</v>
      </c>
      <c r="B520" s="0" t="n">
        <v>4</v>
      </c>
      <c r="C520" s="0" t="str">
        <f aca="false">MID(A520,2,3)</f>
        <v>UAZ</v>
      </c>
      <c r="D520" s="0" t="str">
        <f aca="false">LEFT(A520,7)</f>
        <v>XUAZ-66</v>
      </c>
      <c r="E520" s="0" t="str">
        <f aca="false">IFERROR(RIGHT(A520,LEN(A520)-8),"")</f>
        <v>YELLOW</v>
      </c>
      <c r="F520" s="4" t="s">
        <v>493</v>
      </c>
      <c r="G520" s="0" t="n">
        <v>1</v>
      </c>
      <c r="H520" s="0" t="e">
        <f aca="false">#REF!</f>
        <v>#REF!</v>
      </c>
    </row>
    <row r="521" customFormat="false" ht="15" hidden="false" customHeight="true" outlineLevel="0" collapsed="false">
      <c r="A521" s="4" t="s">
        <v>765</v>
      </c>
      <c r="B521" s="0" t="n">
        <v>4</v>
      </c>
      <c r="C521" s="0" t="str">
        <f aca="false">MID(A521,2,3)</f>
        <v>WOL</v>
      </c>
      <c r="D521" s="0" t="str">
        <f aca="false">LEFT(A521,7)</f>
        <v>XWOL-64</v>
      </c>
      <c r="E521" s="0" t="str">
        <f aca="false">IFERROR(RIGHT(A521,LEN(A521)-8),"")</f>
        <v>GREEN</v>
      </c>
      <c r="F521" s="4" t="s">
        <v>493</v>
      </c>
      <c r="G521" s="0" t="n">
        <v>1</v>
      </c>
      <c r="H521" s="0" t="e">
        <f aca="false">#REF!</f>
        <v>#REF!</v>
      </c>
    </row>
    <row r="522" customFormat="false" ht="15" hidden="false" customHeight="true" outlineLevel="0" collapsed="false">
      <c r="A522" s="4" t="s">
        <v>766</v>
      </c>
      <c r="B522" s="0" t="n">
        <v>4</v>
      </c>
      <c r="C522" s="0" t="str">
        <f aca="false">MID(A522,2,3)</f>
        <v>WOL</v>
      </c>
      <c r="D522" s="0" t="str">
        <f aca="false">LEFT(A522,7)</f>
        <v>XWOL-64</v>
      </c>
      <c r="E522" s="0" t="str">
        <f aca="false">IFERROR(RIGHT(A522,LEN(A522)-8),"")</f>
        <v>RED</v>
      </c>
      <c r="F522" s="4" t="s">
        <v>493</v>
      </c>
      <c r="G522" s="0" t="n">
        <v>1</v>
      </c>
      <c r="H522" s="0" t="e">
        <f aca="false">#REF!</f>
        <v>#REF!</v>
      </c>
    </row>
    <row r="523" customFormat="false" ht="15" hidden="false" customHeight="true" outlineLevel="0" collapsed="false">
      <c r="A523" s="4" t="s">
        <v>767</v>
      </c>
      <c r="B523" s="0" t="n">
        <v>4</v>
      </c>
      <c r="C523" s="0" t="str">
        <f aca="false">MID(A523,2,3)</f>
        <v>WOL</v>
      </c>
      <c r="D523" s="0" t="str">
        <f aca="false">LEFT(A523,7)</f>
        <v>XWOL-64</v>
      </c>
      <c r="E523" s="0" t="str">
        <f aca="false">IFERROR(RIGHT(A523,LEN(A523)-8),"")</f>
        <v>WHITE</v>
      </c>
      <c r="F523" s="4" t="s">
        <v>493</v>
      </c>
      <c r="G523" s="0" t="n">
        <v>1</v>
      </c>
      <c r="H523" s="0" t="e">
        <f aca="false">#REF!</f>
        <v>#REF!</v>
      </c>
    </row>
    <row r="524" customFormat="false" ht="15" hidden="false" customHeight="true" outlineLevel="0" collapsed="false">
      <c r="A524" s="4" t="s">
        <v>768</v>
      </c>
      <c r="B524" s="0" t="n">
        <v>4</v>
      </c>
      <c r="C524" s="0" t="str">
        <f aca="false">MID(A524,2,3)</f>
        <v>WOL</v>
      </c>
      <c r="D524" s="0" t="str">
        <f aca="false">LEFT(A524,7)</f>
        <v>XWOL-64</v>
      </c>
      <c r="E524" s="0" t="str">
        <f aca="false">IFERROR(RIGHT(A524,LEN(A524)-8),"")</f>
        <v>YELLOW</v>
      </c>
      <c r="F524" s="4" t="s">
        <v>493</v>
      </c>
      <c r="G524" s="0" t="n">
        <v>1</v>
      </c>
      <c r="H524" s="0" t="e">
        <f aca="false">#REF!</f>
        <v>#REF!</v>
      </c>
    </row>
    <row r="525" customFormat="false" ht="15" hidden="false" customHeight="true" outlineLevel="0" collapsed="false">
      <c r="A525" s="4" t="s">
        <v>769</v>
      </c>
      <c r="B525" s="0" t="n">
        <v>4</v>
      </c>
      <c r="C525" s="0" t="str">
        <f aca="false">MID(A525,2,3)</f>
        <v>WOL</v>
      </c>
      <c r="D525" s="0" t="str">
        <f aca="false">LEFT(A525,7)</f>
        <v>XWOL-66</v>
      </c>
      <c r="E525" s="0" t="str">
        <f aca="false">IFERROR(RIGHT(A525,LEN(A525)-8),"")</f>
        <v>GREEN</v>
      </c>
      <c r="F525" s="4" t="s">
        <v>493</v>
      </c>
      <c r="G525" s="0" t="n">
        <v>1</v>
      </c>
      <c r="H525" s="0" t="e">
        <f aca="false">#REF!</f>
        <v>#REF!</v>
      </c>
    </row>
    <row r="526" customFormat="false" ht="15" hidden="false" customHeight="true" outlineLevel="0" collapsed="false">
      <c r="A526" s="4" t="s">
        <v>770</v>
      </c>
      <c r="B526" s="0" t="n">
        <v>4</v>
      </c>
      <c r="C526" s="0" t="str">
        <f aca="false">MID(A526,2,3)</f>
        <v>WOL</v>
      </c>
      <c r="D526" s="0" t="str">
        <f aca="false">LEFT(A526,7)</f>
        <v>XWOL-66</v>
      </c>
      <c r="E526" s="0" t="str">
        <f aca="false">IFERROR(RIGHT(A526,LEN(A526)-8),"")</f>
        <v>RED</v>
      </c>
      <c r="F526" s="4" t="s">
        <v>493</v>
      </c>
      <c r="G526" s="0" t="n">
        <v>1</v>
      </c>
      <c r="H526" s="0" t="e">
        <f aca="false">#REF!</f>
        <v>#REF!</v>
      </c>
    </row>
    <row r="527" customFormat="false" ht="15" hidden="false" customHeight="true" outlineLevel="0" collapsed="false">
      <c r="A527" s="4" t="s">
        <v>771</v>
      </c>
      <c r="B527" s="0" t="n">
        <v>4</v>
      </c>
      <c r="C527" s="0" t="str">
        <f aca="false">MID(A527,2,3)</f>
        <v>WOL</v>
      </c>
      <c r="D527" s="0" t="str">
        <f aca="false">LEFT(A527,7)</f>
        <v>XWOL-66</v>
      </c>
      <c r="E527" s="0" t="str">
        <f aca="false">IFERROR(RIGHT(A527,LEN(A527)-8),"")</f>
        <v>WHITE</v>
      </c>
      <c r="F527" s="4" t="s">
        <v>493</v>
      </c>
      <c r="G527" s="0" t="n">
        <v>1</v>
      </c>
      <c r="H527" s="0" t="e">
        <f aca="false">#REF!</f>
        <v>#REF!</v>
      </c>
    </row>
    <row r="528" customFormat="false" ht="15" hidden="false" customHeight="true" outlineLevel="0" collapsed="false">
      <c r="A528" s="4" t="s">
        <v>772</v>
      </c>
      <c r="B528" s="0" t="n">
        <v>4</v>
      </c>
      <c r="C528" s="0" t="str">
        <f aca="false">MID(A528,2,3)</f>
        <v>WOL</v>
      </c>
      <c r="D528" s="0" t="str">
        <f aca="false">LEFT(A528,7)</f>
        <v>XWOL-66</v>
      </c>
      <c r="E528" s="0" t="str">
        <f aca="false">IFERROR(RIGHT(A528,LEN(A528)-8),"")</f>
        <v>YELLOW</v>
      </c>
      <c r="F528" s="4" t="s">
        <v>493</v>
      </c>
      <c r="G528" s="0" t="n">
        <v>1</v>
      </c>
      <c r="H528" s="0" t="e">
        <f aca="false">#REF!</f>
        <v>#REF!</v>
      </c>
    </row>
    <row r="529" customFormat="false" ht="15" hidden="false" customHeight="true" outlineLevel="0" collapsed="false">
      <c r="A529" s="4" t="s">
        <v>773</v>
      </c>
      <c r="B529" s="0" t="n">
        <v>4</v>
      </c>
      <c r="C529" s="0" t="str">
        <f aca="false">MID(A529,2,3)</f>
        <v>WOL</v>
      </c>
      <c r="D529" s="0" t="str">
        <f aca="false">LEFT(A529,7)</f>
        <v>XWOL-67</v>
      </c>
      <c r="E529" s="0" t="str">
        <f aca="false">IFERROR(RIGHT(A529,LEN(A529)-8),"")</f>
        <v>GREEN</v>
      </c>
      <c r="F529" s="4" t="s">
        <v>493</v>
      </c>
      <c r="G529" s="0" t="n">
        <v>1</v>
      </c>
      <c r="H529" s="0" t="e">
        <f aca="false">#REF!</f>
        <v>#REF!</v>
      </c>
    </row>
    <row r="530" customFormat="false" ht="15" hidden="false" customHeight="true" outlineLevel="0" collapsed="false">
      <c r="A530" s="4" t="s">
        <v>774</v>
      </c>
      <c r="B530" s="0" t="n">
        <v>4</v>
      </c>
      <c r="C530" s="0" t="str">
        <f aca="false">MID(A530,2,3)</f>
        <v>WOL</v>
      </c>
      <c r="D530" s="0" t="str">
        <f aca="false">LEFT(A530,7)</f>
        <v>XWOL-67</v>
      </c>
      <c r="E530" s="0" t="str">
        <f aca="false">IFERROR(RIGHT(A530,LEN(A530)-8),"")</f>
        <v>RED</v>
      </c>
      <c r="F530" s="4" t="s">
        <v>493</v>
      </c>
      <c r="G530" s="0" t="n">
        <v>1</v>
      </c>
      <c r="H530" s="0" t="e">
        <f aca="false">#REF!</f>
        <v>#REF!</v>
      </c>
    </row>
    <row r="531" customFormat="false" ht="15" hidden="false" customHeight="true" outlineLevel="0" collapsed="false">
      <c r="A531" s="4" t="s">
        <v>775</v>
      </c>
      <c r="B531" s="0" t="n">
        <v>4</v>
      </c>
      <c r="C531" s="0" t="str">
        <f aca="false">MID(A531,2,3)</f>
        <v>WOL</v>
      </c>
      <c r="D531" s="0" t="str">
        <f aca="false">LEFT(A531,7)</f>
        <v>XWOL-67</v>
      </c>
      <c r="E531" s="0" t="str">
        <f aca="false">IFERROR(RIGHT(A531,LEN(A531)-8),"")</f>
        <v>WHITE</v>
      </c>
      <c r="F531" s="4" t="s">
        <v>493</v>
      </c>
      <c r="G531" s="0" t="n">
        <v>1</v>
      </c>
      <c r="H531" s="0" t="n">
        <v>4</v>
      </c>
    </row>
    <row r="532" customFormat="false" ht="15" hidden="false" customHeight="true" outlineLevel="0" collapsed="false">
      <c r="A532" s="4" t="s">
        <v>776</v>
      </c>
      <c r="B532" s="0" t="n">
        <v>4</v>
      </c>
      <c r="C532" s="0" t="str">
        <f aca="false">MID(A532,2,3)</f>
        <v>WOL</v>
      </c>
      <c r="D532" s="0" t="str">
        <f aca="false">LEFT(A532,7)</f>
        <v>XWOL-67</v>
      </c>
      <c r="E532" s="0" t="str">
        <f aca="false">IFERROR(RIGHT(A532,LEN(A532)-8),"")</f>
        <v>YELLOW</v>
      </c>
      <c r="F532" s="4" t="s">
        <v>493</v>
      </c>
      <c r="G532" s="0" t="n">
        <v>1</v>
      </c>
      <c r="H532" s="0" t="e">
        <f aca="false">#REF!</f>
        <v>#REF!</v>
      </c>
    </row>
    <row r="533" customFormat="false" ht="15" hidden="false" customHeight="true" outlineLevel="0" collapsed="false">
      <c r="A533" s="4" t="s">
        <v>777</v>
      </c>
      <c r="B533" s="0" t="n">
        <v>4</v>
      </c>
      <c r="C533" s="0" t="str">
        <f aca="false">MID(A533,2,3)</f>
        <v>YAM</v>
      </c>
      <c r="D533" s="0" t="str">
        <f aca="false">LEFT(A533,8)</f>
        <v>XYAM-110</v>
      </c>
      <c r="E533" s="0" t="str">
        <f aca="false">IFERROR(RIGHT(A533,LEN(A533)-8),"")</f>
        <v/>
      </c>
      <c r="F533" s="4" t="s">
        <v>493</v>
      </c>
      <c r="G533" s="0" t="n">
        <v>1</v>
      </c>
      <c r="H533" s="0" t="e">
        <f aca="false">#REF!</f>
        <v>#REF!</v>
      </c>
    </row>
    <row r="534" customFormat="false" ht="15" hidden="false" customHeight="true" outlineLevel="0" collapsed="false">
      <c r="A534" s="4" t="s">
        <v>778</v>
      </c>
      <c r="B534" s="0" t="n">
        <v>4</v>
      </c>
      <c r="C534" s="0" t="str">
        <f aca="false">MID(A534,2,3)</f>
        <v>ZAZ</v>
      </c>
      <c r="D534" s="0" t="str">
        <f aca="false">LEFT(A534,7)</f>
        <v>XZAZ-60</v>
      </c>
      <c r="E534" s="0" t="str">
        <f aca="false">IFERROR(RIGHT(A534,LEN(A534)-8),"")</f>
        <v>GREEN</v>
      </c>
      <c r="F534" s="4" t="s">
        <v>493</v>
      </c>
      <c r="G534" s="0" t="n">
        <v>1</v>
      </c>
      <c r="H534" s="0" t="e">
        <f aca="false">#REF!</f>
        <v>#REF!</v>
      </c>
    </row>
    <row r="535" customFormat="false" ht="15" hidden="false" customHeight="true" outlineLevel="0" collapsed="false">
      <c r="A535" s="4" t="s">
        <v>779</v>
      </c>
      <c r="B535" s="0" t="n">
        <v>4</v>
      </c>
      <c r="C535" s="0" t="str">
        <f aca="false">MID(A535,2,3)</f>
        <v>ZAZ</v>
      </c>
      <c r="D535" s="0" t="str">
        <f aca="false">LEFT(A535,7)</f>
        <v>XZAZ-60</v>
      </c>
      <c r="E535" s="0" t="str">
        <f aca="false">IFERROR(RIGHT(A535,LEN(A535)-8),"")</f>
        <v>RED</v>
      </c>
      <c r="F535" s="4" t="s">
        <v>493</v>
      </c>
      <c r="G535" s="0" t="n">
        <v>1</v>
      </c>
      <c r="H535" s="0" t="e">
        <f aca="false">#REF!</f>
        <v>#REF!</v>
      </c>
    </row>
    <row r="536" customFormat="false" ht="15" hidden="false" customHeight="true" outlineLevel="0" collapsed="false">
      <c r="A536" s="4" t="s">
        <v>780</v>
      </c>
      <c r="B536" s="0" t="n">
        <v>4</v>
      </c>
      <c r="C536" s="0" t="str">
        <f aca="false">MID(A536,2,3)</f>
        <v>ZAZ</v>
      </c>
      <c r="D536" s="0" t="str">
        <f aca="false">LEFT(A536,7)</f>
        <v>XZAZ-60</v>
      </c>
      <c r="E536" s="0" t="str">
        <f aca="false">IFERROR(RIGHT(A536,LEN(A536)-8),"")</f>
        <v>YELLOW</v>
      </c>
      <c r="F536" s="4" t="s">
        <v>493</v>
      </c>
      <c r="G536" s="0" t="n">
        <v>1</v>
      </c>
      <c r="H536" s="0" t="e">
        <f aca="false">#REF!</f>
        <v>#REF!</v>
      </c>
    </row>
    <row r="537" customFormat="false" ht="15" hidden="false" customHeight="false" outlineLevel="0" collapsed="false">
      <c r="A537" s="0" t="s">
        <v>781</v>
      </c>
      <c r="B537" s="0" t="n">
        <v>5</v>
      </c>
      <c r="C537" s="0" t="str">
        <f aca="false">MID(A537,4,3)</f>
        <v>CHE</v>
      </c>
      <c r="D537" s="0" t="str">
        <f aca="false">LEFT(A537,LEN(A537)-4)</f>
        <v>PX-CHE-4A-1590</v>
      </c>
      <c r="E537" s="0" t="str">
        <f aca="false">RIGHT(A537,3)</f>
        <v>000</v>
      </c>
      <c r="F537" s="0" t="s">
        <v>782</v>
      </c>
      <c r="G537" s="0" t="str">
        <f aca="false">MID(D537,8,1)</f>
        <v>4</v>
      </c>
      <c r="H537" s="0" t="n">
        <v>1</v>
      </c>
    </row>
    <row r="538" customFormat="false" ht="15" hidden="false" customHeight="false" outlineLevel="0" collapsed="false">
      <c r="A538" s="0" t="s">
        <v>783</v>
      </c>
      <c r="B538" s="0" t="n">
        <v>5</v>
      </c>
      <c r="C538" s="0" t="str">
        <f aca="false">MID(A538,4,3)</f>
        <v>CHE</v>
      </c>
      <c r="D538" s="0" t="str">
        <f aca="false">LEFT(A538,LEN(A538)-4)</f>
        <v>PX-CHE-4A-1590</v>
      </c>
      <c r="E538" s="0" t="str">
        <f aca="false">RIGHT(A538,3)</f>
        <v>025</v>
      </c>
      <c r="F538" s="0" t="s">
        <v>782</v>
      </c>
      <c r="G538" s="0" t="str">
        <f aca="false">MID(D538,8,1)</f>
        <v>4</v>
      </c>
      <c r="H538" s="0" t="n">
        <v>1</v>
      </c>
    </row>
    <row r="539" customFormat="false" ht="15" hidden="false" customHeight="false" outlineLevel="0" collapsed="false">
      <c r="A539" s="0" t="s">
        <v>784</v>
      </c>
      <c r="B539" s="0" t="n">
        <v>5</v>
      </c>
      <c r="C539" s="0" t="str">
        <f aca="false">MID(A539,4,3)</f>
        <v>CHE</v>
      </c>
      <c r="D539" s="0" t="str">
        <f aca="false">LEFT(A539,LEN(A539)-4)</f>
        <v>PX-CHE-4A-1590</v>
      </c>
      <c r="E539" s="0" t="str">
        <f aca="false">RIGHT(A539,3)</f>
        <v>050</v>
      </c>
      <c r="F539" s="0" t="s">
        <v>782</v>
      </c>
      <c r="G539" s="0" t="str">
        <f aca="false">MID(D539,8,1)</f>
        <v>4</v>
      </c>
      <c r="H539" s="0" t="n">
        <v>1</v>
      </c>
    </row>
    <row r="540" customFormat="false" ht="15" hidden="false" customHeight="false" outlineLevel="0" collapsed="false">
      <c r="A540" s="0" t="s">
        <v>785</v>
      </c>
      <c r="B540" s="0" t="n">
        <v>5</v>
      </c>
      <c r="C540" s="0" t="str">
        <f aca="false">MID(A540,4,3)</f>
        <v>CHE</v>
      </c>
      <c r="D540" s="0" t="str">
        <f aca="false">LEFT(A540,LEN(A540)-4)</f>
        <v>PX-CHE-4A-3549</v>
      </c>
      <c r="E540" s="0" t="str">
        <f aca="false">RIGHT(A540,3)</f>
        <v>000</v>
      </c>
      <c r="F540" s="0" t="s">
        <v>782</v>
      </c>
      <c r="G540" s="0" t="str">
        <f aca="false">MID(D540,8,1)</f>
        <v>4</v>
      </c>
      <c r="H540" s="0" t="n">
        <v>1</v>
      </c>
    </row>
    <row r="541" customFormat="false" ht="15" hidden="false" customHeight="false" outlineLevel="0" collapsed="false">
      <c r="A541" s="0" t="s">
        <v>786</v>
      </c>
      <c r="B541" s="0" t="n">
        <v>5</v>
      </c>
      <c r="C541" s="0" t="str">
        <f aca="false">MID(A541,4,3)</f>
        <v>CHE</v>
      </c>
      <c r="D541" s="0" t="str">
        <f aca="false">LEFT(A541,LEN(A541)-4)</f>
        <v>PX-CHE-4A-3549</v>
      </c>
      <c r="E541" s="0" t="str">
        <f aca="false">RIGHT(A541,3)</f>
        <v>025</v>
      </c>
      <c r="F541" s="0" t="s">
        <v>782</v>
      </c>
      <c r="G541" s="0" t="str">
        <f aca="false">MID(D541,8,1)</f>
        <v>4</v>
      </c>
      <c r="H541" s="0" t="n">
        <v>1</v>
      </c>
    </row>
    <row r="542" customFormat="false" ht="15" hidden="false" customHeight="false" outlineLevel="0" collapsed="false">
      <c r="A542" s="0" t="s">
        <v>787</v>
      </c>
      <c r="B542" s="0" t="n">
        <v>5</v>
      </c>
      <c r="C542" s="0" t="str">
        <f aca="false">MID(A542,4,3)</f>
        <v>CHE</v>
      </c>
      <c r="D542" s="0" t="str">
        <f aca="false">LEFT(A542,LEN(A542)-4)</f>
        <v>PX-CHE-4A-3549</v>
      </c>
      <c r="E542" s="0" t="str">
        <f aca="false">RIGHT(A542,3)</f>
        <v>050</v>
      </c>
      <c r="F542" s="0" t="s">
        <v>782</v>
      </c>
      <c r="G542" s="0" t="str">
        <f aca="false">MID(D542,8,1)</f>
        <v>4</v>
      </c>
      <c r="H542" s="0" t="n">
        <v>1</v>
      </c>
    </row>
    <row r="543" customFormat="false" ht="15" hidden="false" customHeight="false" outlineLevel="0" collapsed="false">
      <c r="A543" s="0" t="s">
        <v>788</v>
      </c>
      <c r="B543" s="0" t="n">
        <v>5</v>
      </c>
      <c r="C543" s="0" t="str">
        <f aca="false">MID(A543,4,3)</f>
        <v>CHE</v>
      </c>
      <c r="D543" s="0" t="str">
        <f aca="false">LEFT(A543,LEN(A543)-4)</f>
        <v>PX-CHE-4A-3549</v>
      </c>
      <c r="E543" s="0" t="str">
        <f aca="false">RIGHT(A543,3)</f>
        <v>075</v>
      </c>
      <c r="F543" s="0" t="s">
        <v>782</v>
      </c>
      <c r="G543" s="0" t="str">
        <f aca="false">MID(D543,8,1)</f>
        <v>4</v>
      </c>
      <c r="H543" s="0" t="n">
        <v>1</v>
      </c>
    </row>
    <row r="544" customFormat="false" ht="15" hidden="false" customHeight="false" outlineLevel="0" collapsed="false">
      <c r="A544" s="0" t="s">
        <v>789</v>
      </c>
      <c r="B544" s="0" t="n">
        <v>5</v>
      </c>
      <c r="C544" s="0" t="str">
        <f aca="false">MID(A544,4,3)</f>
        <v>CHE</v>
      </c>
      <c r="D544" s="0" t="str">
        <f aca="false">LEFT(A544,LEN(A544)-4)</f>
        <v>PX-CHE-4A-3549</v>
      </c>
      <c r="E544" s="0" t="str">
        <f aca="false">RIGHT(A544,3)</f>
        <v>100</v>
      </c>
      <c r="F544" s="0" t="s">
        <v>782</v>
      </c>
      <c r="G544" s="0" t="str">
        <f aca="false">MID(D544,8,1)</f>
        <v>4</v>
      </c>
      <c r="H544" s="0" t="n">
        <v>1</v>
      </c>
    </row>
    <row r="545" customFormat="false" ht="15" hidden="false" customHeight="false" outlineLevel="0" collapsed="false">
      <c r="A545" s="0" t="s">
        <v>790</v>
      </c>
      <c r="B545" s="0" t="n">
        <v>5</v>
      </c>
      <c r="C545" s="0" t="str">
        <f aca="false">MID(A545,4,3)</f>
        <v>CHE</v>
      </c>
      <c r="D545" s="0" t="str">
        <f aca="false">CONCATENATE(LEFT(A545,15),2)</f>
        <v>PX-CHE-4A-3549-2</v>
      </c>
      <c r="E545" s="0" t="str">
        <f aca="false">MID(A545,16,3)</f>
        <v>000</v>
      </c>
      <c r="F545" s="0" t="s">
        <v>782</v>
      </c>
      <c r="G545" s="0" t="str">
        <f aca="false">MID(D545,8,1)</f>
        <v>4</v>
      </c>
      <c r="H545" s="0" t="n">
        <v>1</v>
      </c>
    </row>
    <row r="546" customFormat="false" ht="15" hidden="false" customHeight="false" outlineLevel="0" collapsed="false">
      <c r="A546" s="0" t="s">
        <v>791</v>
      </c>
      <c r="B546" s="0" t="n">
        <v>5</v>
      </c>
      <c r="C546" s="0" t="str">
        <f aca="false">MID(A546,4,3)</f>
        <v>CHE</v>
      </c>
      <c r="D546" s="0" t="str">
        <f aca="false">CONCATENATE(LEFT(A546,15),2)</f>
        <v>PX-CHE-4A-3549-2</v>
      </c>
      <c r="E546" s="0" t="str">
        <f aca="false">MID(A546,16,3)</f>
        <v>025</v>
      </c>
      <c r="F546" s="0" t="s">
        <v>782</v>
      </c>
      <c r="G546" s="0" t="str">
        <f aca="false">MID(D546,8,1)</f>
        <v>4</v>
      </c>
      <c r="H546" s="0" t="n">
        <v>1</v>
      </c>
    </row>
    <row r="547" customFormat="false" ht="15" hidden="false" customHeight="false" outlineLevel="0" collapsed="false">
      <c r="A547" s="0" t="s">
        <v>792</v>
      </c>
      <c r="B547" s="0" t="n">
        <v>5</v>
      </c>
      <c r="C547" s="0" t="str">
        <f aca="false">MID(A547,4,3)</f>
        <v>CHE</v>
      </c>
      <c r="D547" s="0" t="str">
        <f aca="false">CONCATENATE(LEFT(A547,15),2)</f>
        <v>PX-CHE-4A-3549-2</v>
      </c>
      <c r="E547" s="0" t="str">
        <f aca="false">MID(A547,16,3)</f>
        <v>050</v>
      </c>
      <c r="F547" s="0" t="s">
        <v>782</v>
      </c>
      <c r="G547" s="0" t="str">
        <f aca="false">MID(D547,8,1)</f>
        <v>4</v>
      </c>
      <c r="H547" s="0" t="n">
        <v>1</v>
      </c>
    </row>
    <row r="548" customFormat="false" ht="15" hidden="false" customHeight="false" outlineLevel="0" collapsed="false">
      <c r="A548" s="0" t="s">
        <v>793</v>
      </c>
      <c r="B548" s="0" t="n">
        <v>5</v>
      </c>
      <c r="C548" s="0" t="str">
        <f aca="false">MID(A548,4,3)</f>
        <v>CHE</v>
      </c>
      <c r="D548" s="0" t="str">
        <f aca="false">CONCATENATE(LEFT(A548,15),2)</f>
        <v>PX-CHE-4A-3549-2</v>
      </c>
      <c r="E548" s="0" t="str">
        <f aca="false">MID(A548,16,3)</f>
        <v>075</v>
      </c>
      <c r="F548" s="0" t="s">
        <v>782</v>
      </c>
      <c r="G548" s="0" t="str">
        <f aca="false">MID(D548,8,1)</f>
        <v>4</v>
      </c>
      <c r="H548" s="0" t="n">
        <v>1</v>
      </c>
    </row>
    <row r="549" customFormat="false" ht="15" hidden="false" customHeight="false" outlineLevel="0" collapsed="false">
      <c r="A549" s="0" t="s">
        <v>794</v>
      </c>
      <c r="B549" s="0" t="n">
        <v>5</v>
      </c>
      <c r="C549" s="0" t="str">
        <f aca="false">MID(A549,4,3)</f>
        <v>CHE</v>
      </c>
      <c r="D549" s="0" t="str">
        <f aca="false">CONCATENATE(LEFT(A549,15),2)</f>
        <v>PX-CHE-4A-3549-2</v>
      </c>
      <c r="E549" s="0" t="str">
        <f aca="false">MID(A549,16,3)</f>
        <v>100</v>
      </c>
      <c r="F549" s="0" t="s">
        <v>782</v>
      </c>
      <c r="G549" s="0" t="str">
        <f aca="false">MID(D549,8,1)</f>
        <v>4</v>
      </c>
      <c r="H549" s="0" t="n">
        <v>1</v>
      </c>
    </row>
    <row r="550" customFormat="false" ht="15" hidden="false" customHeight="false" outlineLevel="0" collapsed="false">
      <c r="A550" s="0" t="s">
        <v>795</v>
      </c>
      <c r="B550" s="0" t="n">
        <v>5</v>
      </c>
      <c r="C550" s="0" t="str">
        <f aca="false">MID(A550,4,3)</f>
        <v>CHE</v>
      </c>
      <c r="D550" s="0" t="str">
        <f aca="false">LEFT(A550,LEN(A550)-4)</f>
        <v>PX-CHE-4F-1405</v>
      </c>
      <c r="E550" s="0" t="str">
        <f aca="false">RIGHT(A550,3)</f>
        <v>000</v>
      </c>
      <c r="F550" s="0" t="s">
        <v>782</v>
      </c>
      <c r="G550" s="0" t="str">
        <f aca="false">MID(D550,8,1)</f>
        <v>4</v>
      </c>
      <c r="H550" s="0" t="n">
        <v>1</v>
      </c>
    </row>
    <row r="551" customFormat="false" ht="15" hidden="false" customHeight="false" outlineLevel="0" collapsed="false">
      <c r="A551" s="0" t="s">
        <v>796</v>
      </c>
      <c r="B551" s="0" t="n">
        <v>5</v>
      </c>
      <c r="C551" s="0" t="str">
        <f aca="false">MID(A551,4,3)</f>
        <v>CHE</v>
      </c>
      <c r="D551" s="0" t="str">
        <f aca="false">LEFT(A551,LEN(A551)-4)</f>
        <v>PX-CHE-4F-1405</v>
      </c>
      <c r="E551" s="0" t="str">
        <f aca="false">RIGHT(A551,3)</f>
        <v>025</v>
      </c>
      <c r="F551" s="0" t="s">
        <v>782</v>
      </c>
      <c r="G551" s="0" t="str">
        <f aca="false">MID(D551,8,1)</f>
        <v>4</v>
      </c>
      <c r="H551" s="0" t="n">
        <v>1</v>
      </c>
    </row>
    <row r="552" customFormat="false" ht="15" hidden="false" customHeight="false" outlineLevel="0" collapsed="false">
      <c r="A552" s="0" t="s">
        <v>797</v>
      </c>
      <c r="B552" s="0" t="n">
        <v>5</v>
      </c>
      <c r="C552" s="0" t="str">
        <f aca="false">MID(A552,4,3)</f>
        <v>CHE</v>
      </c>
      <c r="D552" s="0" t="str">
        <f aca="false">LEFT(A552,LEN(A552)-4)</f>
        <v>PX-CHE-4F-1405</v>
      </c>
      <c r="E552" s="0" t="str">
        <f aca="false">RIGHT(A552,3)</f>
        <v>050</v>
      </c>
      <c r="F552" s="0" t="s">
        <v>782</v>
      </c>
      <c r="G552" s="0" t="str">
        <f aca="false">MID(D552,8,1)</f>
        <v>4</v>
      </c>
      <c r="H552" s="0" t="n">
        <v>1</v>
      </c>
    </row>
    <row r="553" customFormat="false" ht="15" hidden="false" customHeight="false" outlineLevel="0" collapsed="false">
      <c r="A553" s="0" t="s">
        <v>798</v>
      </c>
      <c r="B553" s="0" t="n">
        <v>5</v>
      </c>
      <c r="C553" s="0" t="str">
        <f aca="false">MID(A553,4,3)</f>
        <v>CHE</v>
      </c>
      <c r="D553" s="0" t="str">
        <f aca="false">LEFT(A553,LEN(A553)-4)</f>
        <v>PX-CHE-4F-1590</v>
      </c>
      <c r="E553" s="0" t="str">
        <f aca="false">RIGHT(A553,3)</f>
        <v>000</v>
      </c>
      <c r="F553" s="0" t="s">
        <v>782</v>
      </c>
      <c r="G553" s="0" t="str">
        <f aca="false">MID(D553,8,1)</f>
        <v>4</v>
      </c>
      <c r="H553" s="0" t="n">
        <v>1</v>
      </c>
    </row>
    <row r="554" customFormat="false" ht="15" hidden="false" customHeight="false" outlineLevel="0" collapsed="false">
      <c r="A554" s="0" t="s">
        <v>799</v>
      </c>
      <c r="B554" s="0" t="n">
        <v>5</v>
      </c>
      <c r="C554" s="0" t="str">
        <f aca="false">MID(A554,4,3)</f>
        <v>CHE</v>
      </c>
      <c r="D554" s="0" t="str">
        <f aca="false">LEFT(A554,LEN(A554)-4)</f>
        <v>PX-CHE-4F-1590</v>
      </c>
      <c r="E554" s="0" t="str">
        <f aca="false">RIGHT(A554,3)</f>
        <v>025</v>
      </c>
      <c r="F554" s="0" t="s">
        <v>782</v>
      </c>
      <c r="G554" s="0" t="str">
        <f aca="false">MID(D554,8,1)</f>
        <v>4</v>
      </c>
      <c r="H554" s="0" t="n">
        <v>1</v>
      </c>
    </row>
    <row r="555" customFormat="false" ht="15" hidden="false" customHeight="false" outlineLevel="0" collapsed="false">
      <c r="A555" s="0" t="s">
        <v>800</v>
      </c>
      <c r="B555" s="0" t="n">
        <v>5</v>
      </c>
      <c r="C555" s="0" t="str">
        <f aca="false">MID(A555,4,3)</f>
        <v>CHE</v>
      </c>
      <c r="D555" s="0" t="str">
        <f aca="false">LEFT(A555,LEN(A555)-4)</f>
        <v>PX-CHE-4F-1590</v>
      </c>
      <c r="E555" s="0" t="str">
        <f aca="false">RIGHT(A555,3)</f>
        <v>050</v>
      </c>
      <c r="F555" s="0" t="s">
        <v>782</v>
      </c>
      <c r="G555" s="0" t="str">
        <f aca="false">MID(D555,8,1)</f>
        <v>4</v>
      </c>
      <c r="H555" s="0" t="n">
        <v>1</v>
      </c>
    </row>
    <row r="556" customFormat="false" ht="15" hidden="false" customHeight="false" outlineLevel="0" collapsed="false">
      <c r="A556" s="0" t="s">
        <v>801</v>
      </c>
      <c r="B556" s="0" t="n">
        <v>5</v>
      </c>
      <c r="C556" s="0" t="str">
        <f aca="false">MID(A556,4,3)</f>
        <v>CHE</v>
      </c>
      <c r="D556" s="0" t="str">
        <f aca="false">LEFT(A556,LEN(A556)-4)</f>
        <v>PX-CHE-4F-3549</v>
      </c>
      <c r="E556" s="0" t="str">
        <f aca="false">RIGHT(A556,3)</f>
        <v>000</v>
      </c>
      <c r="F556" s="0" t="s">
        <v>782</v>
      </c>
      <c r="G556" s="0" t="str">
        <f aca="false">MID(D556,8,1)</f>
        <v>4</v>
      </c>
      <c r="H556" s="0" t="n">
        <v>1</v>
      </c>
    </row>
    <row r="557" customFormat="false" ht="15" hidden="false" customHeight="false" outlineLevel="0" collapsed="false">
      <c r="A557" s="0" t="s">
        <v>802</v>
      </c>
      <c r="B557" s="0" t="n">
        <v>5</v>
      </c>
      <c r="C557" s="0" t="str">
        <f aca="false">MID(A557,4,3)</f>
        <v>CHE</v>
      </c>
      <c r="D557" s="0" t="str">
        <f aca="false">LEFT(A557,LEN(A557)-4)</f>
        <v>PX-CHE-4F-3549</v>
      </c>
      <c r="E557" s="0" t="str">
        <f aca="false">RIGHT(A557,3)</f>
        <v>025</v>
      </c>
      <c r="F557" s="0" t="s">
        <v>782</v>
      </c>
      <c r="G557" s="0" t="str">
        <f aca="false">MID(D557,8,1)</f>
        <v>4</v>
      </c>
      <c r="H557" s="0" t="n">
        <v>1</v>
      </c>
    </row>
    <row r="558" customFormat="false" ht="15" hidden="false" customHeight="false" outlineLevel="0" collapsed="false">
      <c r="A558" s="0" t="s">
        <v>803</v>
      </c>
      <c r="B558" s="0" t="n">
        <v>5</v>
      </c>
      <c r="C558" s="0" t="str">
        <f aca="false">MID(A558,4,3)</f>
        <v>CHE</v>
      </c>
      <c r="D558" s="0" t="str">
        <f aca="false">LEFT(A558,LEN(A558)-4)</f>
        <v>PX-CHE-4F-3549</v>
      </c>
      <c r="E558" s="0" t="str">
        <f aca="false">RIGHT(A558,3)</f>
        <v>050</v>
      </c>
      <c r="F558" s="0" t="s">
        <v>782</v>
      </c>
      <c r="G558" s="0" t="str">
        <f aca="false">MID(D558,8,1)</f>
        <v>4</v>
      </c>
      <c r="H558" s="0" t="n">
        <v>1</v>
      </c>
    </row>
    <row r="559" customFormat="false" ht="15" hidden="false" customHeight="false" outlineLevel="0" collapsed="false">
      <c r="A559" s="0" t="s">
        <v>804</v>
      </c>
      <c r="B559" s="0" t="n">
        <v>5</v>
      </c>
      <c r="C559" s="0" t="str">
        <f aca="false">MID(A559,4,3)</f>
        <v>CUM</v>
      </c>
      <c r="D559" s="0" t="str">
        <f aca="false">LEFT(A559,LEN(A559)-4)</f>
        <v>PX-CUM-1R-0812</v>
      </c>
      <c r="E559" s="0" t="str">
        <f aca="false">RIGHT(A559,3)</f>
        <v>000</v>
      </c>
      <c r="F559" s="0" t="s">
        <v>493</v>
      </c>
      <c r="G559" s="0" t="str">
        <f aca="false">MID(D559,8,1)</f>
        <v>1</v>
      </c>
      <c r="H559" s="0" t="n">
        <v>1</v>
      </c>
    </row>
    <row r="560" customFormat="false" ht="15" hidden="false" customHeight="false" outlineLevel="0" collapsed="false">
      <c r="A560" s="0" t="s">
        <v>805</v>
      </c>
      <c r="B560" s="0" t="n">
        <v>5</v>
      </c>
      <c r="C560" s="0" t="str">
        <f aca="false">MID(A560,4,3)</f>
        <v>CUM</v>
      </c>
      <c r="D560" s="0" t="str">
        <f aca="false">LEFT(A560,LEN(A560)-4)</f>
        <v>PX-CUM-1R-0812</v>
      </c>
      <c r="E560" s="0" t="str">
        <f aca="false">RIGHT(A560,3)</f>
        <v>025</v>
      </c>
      <c r="F560" s="0" t="s">
        <v>493</v>
      </c>
      <c r="G560" s="0" t="str">
        <f aca="false">MID(D560,8,1)</f>
        <v>1</v>
      </c>
      <c r="H560" s="0" t="n">
        <v>1</v>
      </c>
    </row>
    <row r="561" customFormat="false" ht="15" hidden="false" customHeight="false" outlineLevel="0" collapsed="false">
      <c r="A561" s="0" t="s">
        <v>806</v>
      </c>
      <c r="B561" s="0" t="n">
        <v>5</v>
      </c>
      <c r="C561" s="0" t="str">
        <f aca="false">MID(A561,4,3)</f>
        <v>CUM</v>
      </c>
      <c r="D561" s="0" t="str">
        <f aca="false">LEFT(A561,LEN(A561)-4)</f>
        <v>PX-CUM-1R-0812</v>
      </c>
      <c r="E561" s="0" t="str">
        <f aca="false">RIGHT(A561,3)</f>
        <v>050</v>
      </c>
      <c r="F561" s="0" t="s">
        <v>493</v>
      </c>
      <c r="G561" s="0" t="str">
        <f aca="false">MID(D561,8,1)</f>
        <v>1</v>
      </c>
      <c r="H561" s="0" t="n">
        <v>1</v>
      </c>
    </row>
    <row r="562" customFormat="false" ht="15" hidden="false" customHeight="false" outlineLevel="0" collapsed="false">
      <c r="A562" s="0" t="s">
        <v>807</v>
      </c>
      <c r="B562" s="0" t="n">
        <v>5</v>
      </c>
      <c r="C562" s="0" t="str">
        <f aca="false">MID(A562,4,3)</f>
        <v>DAE</v>
      </c>
      <c r="D562" s="0" t="str">
        <f aca="false">LEFT(A562,LEN(A562)-4)</f>
        <v>PX-DAE-3A-1401</v>
      </c>
      <c r="E562" s="0" t="str">
        <f aca="false">RIGHT(A562,3)</f>
        <v>000</v>
      </c>
      <c r="F562" s="0" t="s">
        <v>782</v>
      </c>
      <c r="G562" s="0" t="str">
        <f aca="false">MID(D562,8,1)</f>
        <v>3</v>
      </c>
      <c r="H562" s="0" t="n">
        <v>1</v>
      </c>
    </row>
    <row r="563" customFormat="false" ht="15" hidden="false" customHeight="false" outlineLevel="0" collapsed="false">
      <c r="A563" s="0" t="s">
        <v>808</v>
      </c>
      <c r="B563" s="0" t="n">
        <v>5</v>
      </c>
      <c r="C563" s="0" t="str">
        <f aca="false">MID(A563,4,3)</f>
        <v>DAE</v>
      </c>
      <c r="D563" s="0" t="str">
        <f aca="false">LEFT(A563,LEN(A563)-4)</f>
        <v>PX-DAE-3A-1401</v>
      </c>
      <c r="E563" s="0" t="str">
        <f aca="false">RIGHT(A563,3)</f>
        <v>025</v>
      </c>
      <c r="F563" s="0" t="s">
        <v>782</v>
      </c>
      <c r="G563" s="0" t="str">
        <f aca="false">MID(D563,8,1)</f>
        <v>3</v>
      </c>
      <c r="H563" s="0" t="n">
        <v>1</v>
      </c>
    </row>
    <row r="564" customFormat="false" ht="15" hidden="false" customHeight="false" outlineLevel="0" collapsed="false">
      <c r="A564" s="0" t="s">
        <v>809</v>
      </c>
      <c r="B564" s="0" t="n">
        <v>5</v>
      </c>
      <c r="C564" s="0" t="str">
        <f aca="false">MID(A564,4,3)</f>
        <v>DAE</v>
      </c>
      <c r="D564" s="0" t="str">
        <f aca="false">LEFT(A564,LEN(A564)-4)</f>
        <v>PX-DAE-3A-1401</v>
      </c>
      <c r="E564" s="0" t="str">
        <f aca="false">RIGHT(A564,3)</f>
        <v>050</v>
      </c>
      <c r="F564" s="0" t="s">
        <v>782</v>
      </c>
      <c r="G564" s="0" t="str">
        <f aca="false">MID(D564,8,1)</f>
        <v>3</v>
      </c>
      <c r="H564" s="0" t="n">
        <v>1</v>
      </c>
    </row>
    <row r="565" customFormat="false" ht="15" hidden="false" customHeight="false" outlineLevel="0" collapsed="false">
      <c r="A565" s="0" t="s">
        <v>810</v>
      </c>
      <c r="B565" s="0" t="n">
        <v>5</v>
      </c>
      <c r="C565" s="0" t="str">
        <f aca="false">MID(A565,4,3)</f>
        <v>DAE</v>
      </c>
      <c r="D565" s="0" t="str">
        <f aca="false">LEFT(A565,LEN(A565)-4)</f>
        <v>PX-DAE-3A-1401</v>
      </c>
      <c r="E565" s="0" t="str">
        <f aca="false">RIGHT(A565,3)</f>
        <v>075</v>
      </c>
      <c r="F565" s="0" t="s">
        <v>782</v>
      </c>
      <c r="G565" s="0" t="str">
        <f aca="false">MID(D565,8,1)</f>
        <v>3</v>
      </c>
      <c r="H565" s="0" t="n">
        <v>1</v>
      </c>
    </row>
    <row r="566" customFormat="false" ht="15" hidden="false" customHeight="false" outlineLevel="0" collapsed="false">
      <c r="A566" s="0" t="s">
        <v>811</v>
      </c>
      <c r="B566" s="0" t="n">
        <v>5</v>
      </c>
      <c r="C566" s="0" t="str">
        <f aca="false">MID(A566,4,3)</f>
        <v>DAE</v>
      </c>
      <c r="D566" s="0" t="str">
        <f aca="false">LEFT(A566,LEN(A566)-4)</f>
        <v>PX-DAE-3A-1401</v>
      </c>
      <c r="E566" s="0" t="str">
        <f aca="false">RIGHT(A566,3)</f>
        <v>100</v>
      </c>
      <c r="F566" s="0" t="s">
        <v>782</v>
      </c>
      <c r="G566" s="0" t="str">
        <f aca="false">MID(D566,8,1)</f>
        <v>3</v>
      </c>
      <c r="H566" s="0" t="n">
        <v>1</v>
      </c>
    </row>
    <row r="567" customFormat="false" ht="15" hidden="false" customHeight="false" outlineLevel="0" collapsed="false">
      <c r="A567" s="0" t="s">
        <v>812</v>
      </c>
      <c r="B567" s="0" t="n">
        <v>5</v>
      </c>
      <c r="C567" s="0" t="str">
        <f aca="false">MID(A567,4,3)</f>
        <v>DAE</v>
      </c>
      <c r="D567" s="0" t="str">
        <f aca="false">LEFT(A567,LEN(A567)-4)</f>
        <v>PX-DAE-3F-1401</v>
      </c>
      <c r="E567" s="0" t="str">
        <f aca="false">RIGHT(A567,3)</f>
        <v>000</v>
      </c>
      <c r="F567" s="0" t="s">
        <v>782</v>
      </c>
      <c r="G567" s="0" t="str">
        <f aca="false">MID(D567,8,1)</f>
        <v>3</v>
      </c>
      <c r="H567" s="0" t="n">
        <v>1</v>
      </c>
    </row>
    <row r="568" customFormat="false" ht="15" hidden="false" customHeight="false" outlineLevel="0" collapsed="false">
      <c r="A568" s="0" t="s">
        <v>813</v>
      </c>
      <c r="B568" s="0" t="n">
        <v>5</v>
      </c>
      <c r="C568" s="0" t="str">
        <f aca="false">MID(A568,4,3)</f>
        <v>DAE</v>
      </c>
      <c r="D568" s="0" t="str">
        <f aca="false">LEFT(A568,LEN(A568)-4)</f>
        <v>PX-DAE-3F-1401</v>
      </c>
      <c r="E568" s="0" t="str">
        <f aca="false">RIGHT(A568,3)</f>
        <v>025</v>
      </c>
      <c r="F568" s="0" t="s">
        <v>782</v>
      </c>
      <c r="G568" s="0" t="str">
        <f aca="false">MID(D568,8,1)</f>
        <v>3</v>
      </c>
      <c r="H568" s="0" t="n">
        <v>1</v>
      </c>
    </row>
    <row r="569" customFormat="false" ht="15" hidden="false" customHeight="false" outlineLevel="0" collapsed="false">
      <c r="A569" s="0" t="s">
        <v>814</v>
      </c>
      <c r="B569" s="0" t="n">
        <v>5</v>
      </c>
      <c r="C569" s="0" t="str">
        <f aca="false">MID(A569,4,3)</f>
        <v>DAE</v>
      </c>
      <c r="D569" s="0" t="str">
        <f aca="false">LEFT(A569,LEN(A569)-4)</f>
        <v>PX-DAE-3F-1401</v>
      </c>
      <c r="E569" s="0" t="str">
        <f aca="false">RIGHT(A569,3)</f>
        <v>050</v>
      </c>
      <c r="F569" s="0" t="s">
        <v>782</v>
      </c>
      <c r="G569" s="0" t="str">
        <f aca="false">MID(D569,8,1)</f>
        <v>3</v>
      </c>
      <c r="H569" s="0" t="n">
        <v>1</v>
      </c>
    </row>
    <row r="570" customFormat="false" ht="15" hidden="false" customHeight="false" outlineLevel="0" collapsed="false">
      <c r="A570" s="0" t="s">
        <v>815</v>
      </c>
      <c r="B570" s="0" t="n">
        <v>5</v>
      </c>
      <c r="C570" s="0" t="str">
        <f aca="false">MID(A570,4,3)</f>
        <v>DAE</v>
      </c>
      <c r="D570" s="0" t="str">
        <f aca="false">LEFT(A570,LEN(A570)-4)</f>
        <v>PX-DAE-3F-1401</v>
      </c>
      <c r="E570" s="0" t="str">
        <f aca="false">RIGHT(A570,3)</f>
        <v>075</v>
      </c>
      <c r="F570" s="0" t="s">
        <v>782</v>
      </c>
      <c r="G570" s="0" t="str">
        <f aca="false">MID(D570,8,1)</f>
        <v>3</v>
      </c>
      <c r="H570" s="0" t="n">
        <v>1</v>
      </c>
    </row>
    <row r="571" customFormat="false" ht="15" hidden="false" customHeight="false" outlineLevel="0" collapsed="false">
      <c r="A571" s="0" t="s">
        <v>816</v>
      </c>
      <c r="B571" s="0" t="n">
        <v>5</v>
      </c>
      <c r="C571" s="0" t="str">
        <f aca="false">MID(A571,4,3)</f>
        <v>DAE</v>
      </c>
      <c r="D571" s="0" t="str">
        <f aca="false">LEFT(A571,LEN(A571)-4)</f>
        <v>PX-DAE-3F-1401</v>
      </c>
      <c r="E571" s="0" t="str">
        <f aca="false">RIGHT(A571,3)</f>
        <v>100</v>
      </c>
      <c r="F571" s="0" t="s">
        <v>782</v>
      </c>
      <c r="G571" s="0" t="str">
        <f aca="false">MID(D571,8,1)</f>
        <v>3</v>
      </c>
      <c r="H571" s="0" t="n">
        <v>1</v>
      </c>
    </row>
    <row r="572" customFormat="false" ht="15" hidden="false" customHeight="false" outlineLevel="0" collapsed="false">
      <c r="A572" s="0" t="s">
        <v>817</v>
      </c>
      <c r="B572" s="0" t="n">
        <v>5</v>
      </c>
      <c r="C572" s="0" t="str">
        <f aca="false">MID(A572,4,3)</f>
        <v>DAE</v>
      </c>
      <c r="D572" s="0" t="str">
        <f aca="false">LEFT(A572,LEN(A572)-4)</f>
        <v>PX-DAE-4A-1402</v>
      </c>
      <c r="E572" s="0" t="str">
        <f aca="false">RIGHT(A572,3)</f>
        <v>000</v>
      </c>
      <c r="F572" s="0" t="s">
        <v>782</v>
      </c>
      <c r="G572" s="0" t="str">
        <f aca="false">MID(D572,8,1)</f>
        <v>4</v>
      </c>
      <c r="H572" s="0" t="n">
        <v>1</v>
      </c>
    </row>
    <row r="573" customFormat="false" ht="15" hidden="false" customHeight="false" outlineLevel="0" collapsed="false">
      <c r="A573" s="0" t="s">
        <v>818</v>
      </c>
      <c r="B573" s="0" t="n">
        <v>5</v>
      </c>
      <c r="C573" s="0" t="str">
        <f aca="false">MID(A573,4,3)</f>
        <v>DAE</v>
      </c>
      <c r="D573" s="0" t="str">
        <f aca="false">LEFT(A573,LEN(A573)-4)</f>
        <v>PX-DAE-4A-1402</v>
      </c>
      <c r="E573" s="0" t="str">
        <f aca="false">RIGHT(A573,3)</f>
        <v>025</v>
      </c>
      <c r="F573" s="0" t="s">
        <v>782</v>
      </c>
      <c r="G573" s="0" t="str">
        <f aca="false">MID(D573,8,1)</f>
        <v>4</v>
      </c>
      <c r="H573" s="0" t="n">
        <v>1</v>
      </c>
    </row>
    <row r="574" customFormat="false" ht="15" hidden="false" customHeight="false" outlineLevel="0" collapsed="false">
      <c r="A574" s="0" t="s">
        <v>819</v>
      </c>
      <c r="B574" s="0" t="n">
        <v>5</v>
      </c>
      <c r="C574" s="0" t="str">
        <f aca="false">MID(A574,4,3)</f>
        <v>DAE</v>
      </c>
      <c r="D574" s="0" t="str">
        <f aca="false">LEFT(A574,LEN(A574)-4)</f>
        <v>PX-DAE-4A-1402</v>
      </c>
      <c r="E574" s="0" t="str">
        <f aca="false">RIGHT(A574,3)</f>
        <v>050</v>
      </c>
      <c r="F574" s="0" t="s">
        <v>782</v>
      </c>
      <c r="G574" s="0" t="str">
        <f aca="false">MID(D574,8,1)</f>
        <v>4</v>
      </c>
      <c r="H574" s="0" t="n">
        <v>1</v>
      </c>
    </row>
    <row r="575" customFormat="false" ht="15" hidden="false" customHeight="false" outlineLevel="0" collapsed="false">
      <c r="A575" s="0" t="s">
        <v>820</v>
      </c>
      <c r="B575" s="0" t="n">
        <v>5</v>
      </c>
      <c r="C575" s="0" t="str">
        <f aca="false">MID(A575,4,3)</f>
        <v>DAE</v>
      </c>
      <c r="D575" s="0" t="str">
        <f aca="false">LEFT(A575,LEN(A575)-4)</f>
        <v>PX-DAE-4A-1402</v>
      </c>
      <c r="E575" s="0" t="str">
        <f aca="false">RIGHT(A575,3)</f>
        <v>075</v>
      </c>
      <c r="F575" s="0" t="s">
        <v>782</v>
      </c>
      <c r="G575" s="0" t="str">
        <f aca="false">MID(D575,8,1)</f>
        <v>4</v>
      </c>
      <c r="H575" s="0" t="n">
        <v>1</v>
      </c>
    </row>
    <row r="576" customFormat="false" ht="15" hidden="false" customHeight="false" outlineLevel="0" collapsed="false">
      <c r="A576" s="0" t="s">
        <v>821</v>
      </c>
      <c r="B576" s="0" t="n">
        <v>5</v>
      </c>
      <c r="C576" s="0" t="str">
        <f aca="false">MID(A576,4,3)</f>
        <v>DAE</v>
      </c>
      <c r="D576" s="0" t="str">
        <f aca="false">LEFT(A576,LEN(A576)-4)</f>
        <v>PX-DAE-4A-1402</v>
      </c>
      <c r="E576" s="0" t="str">
        <f aca="false">RIGHT(A576,3)</f>
        <v>100</v>
      </c>
      <c r="F576" s="0" t="s">
        <v>782</v>
      </c>
      <c r="G576" s="0" t="str">
        <f aca="false">MID(D576,8,1)</f>
        <v>4</v>
      </c>
      <c r="H576" s="0" t="n">
        <v>1</v>
      </c>
    </row>
    <row r="577" customFormat="false" ht="15" hidden="false" customHeight="false" outlineLevel="0" collapsed="false">
      <c r="A577" s="0" t="s">
        <v>822</v>
      </c>
      <c r="B577" s="0" t="n">
        <v>5</v>
      </c>
      <c r="C577" s="0" t="str">
        <f aca="false">MID(A577,4,3)</f>
        <v>DAE</v>
      </c>
      <c r="D577" s="0" t="str">
        <f aca="false">LEFT(A577,LEN(A577)-4)</f>
        <v>PX-DAE-4A-3538</v>
      </c>
      <c r="E577" s="0" t="str">
        <f aca="false">RIGHT(A577,3)</f>
        <v>000</v>
      </c>
      <c r="F577" s="0" t="s">
        <v>782</v>
      </c>
      <c r="G577" s="0" t="str">
        <f aca="false">MID(D577,8,1)</f>
        <v>4</v>
      </c>
      <c r="H577" s="0" t="n">
        <v>1</v>
      </c>
    </row>
    <row r="578" customFormat="false" ht="15" hidden="false" customHeight="false" outlineLevel="0" collapsed="false">
      <c r="A578" s="0" t="s">
        <v>823</v>
      </c>
      <c r="B578" s="0" t="n">
        <v>5</v>
      </c>
      <c r="C578" s="0" t="str">
        <f aca="false">MID(A578,4,3)</f>
        <v>DAE</v>
      </c>
      <c r="D578" s="0" t="str">
        <f aca="false">LEFT(A578,LEN(A578)-4)</f>
        <v>PX-DAE-4A-3538</v>
      </c>
      <c r="E578" s="0" t="str">
        <f aca="false">RIGHT(A578,3)</f>
        <v>025</v>
      </c>
      <c r="F578" s="0" t="s">
        <v>782</v>
      </c>
      <c r="G578" s="0" t="str">
        <f aca="false">MID(D578,8,1)</f>
        <v>4</v>
      </c>
      <c r="H578" s="0" t="n">
        <v>1</v>
      </c>
    </row>
    <row r="579" customFormat="false" ht="15" hidden="false" customHeight="false" outlineLevel="0" collapsed="false">
      <c r="A579" s="0" t="s">
        <v>824</v>
      </c>
      <c r="B579" s="0" t="n">
        <v>5</v>
      </c>
      <c r="C579" s="0" t="str">
        <f aca="false">MID(A579,4,3)</f>
        <v>DAE</v>
      </c>
      <c r="D579" s="0" t="str">
        <f aca="false">LEFT(A579,LEN(A579)-4)</f>
        <v>PX-DAE-4A-3538</v>
      </c>
      <c r="E579" s="0" t="str">
        <f aca="false">RIGHT(A579,3)</f>
        <v>050</v>
      </c>
      <c r="F579" s="0" t="s">
        <v>782</v>
      </c>
      <c r="G579" s="0" t="str">
        <f aca="false">MID(D579,8,1)</f>
        <v>4</v>
      </c>
      <c r="H579" s="0" t="n">
        <v>1</v>
      </c>
    </row>
    <row r="580" customFormat="false" ht="15" hidden="false" customHeight="false" outlineLevel="0" collapsed="false">
      <c r="A580" s="0" t="s">
        <v>825</v>
      </c>
      <c r="B580" s="0" t="n">
        <v>5</v>
      </c>
      <c r="C580" s="0" t="str">
        <f aca="false">MID(A580,4,3)</f>
        <v>DAE</v>
      </c>
      <c r="D580" s="0" t="str">
        <f aca="false">LEFT(A580,LEN(A580)-4)</f>
        <v>PX-DAE-4A-3538</v>
      </c>
      <c r="E580" s="0" t="str">
        <f aca="false">RIGHT(A580,3)</f>
        <v>075</v>
      </c>
      <c r="F580" s="0" t="s">
        <v>782</v>
      </c>
      <c r="G580" s="0" t="str">
        <f aca="false">MID(D580,8,1)</f>
        <v>4</v>
      </c>
      <c r="H580" s="0" t="n">
        <v>1</v>
      </c>
    </row>
    <row r="581" customFormat="false" ht="15" hidden="false" customHeight="false" outlineLevel="0" collapsed="false">
      <c r="A581" s="0" t="s">
        <v>826</v>
      </c>
      <c r="B581" s="0" t="n">
        <v>5</v>
      </c>
      <c r="C581" s="0" t="str">
        <f aca="false">MID(A581,4,3)</f>
        <v>DAE</v>
      </c>
      <c r="D581" s="0" t="str">
        <f aca="false">LEFT(A581,LEN(A581)-4)</f>
        <v>PX-DAE-4A-3538</v>
      </c>
      <c r="E581" s="0" t="str">
        <f aca="false">RIGHT(A581,3)</f>
        <v>100</v>
      </c>
      <c r="F581" s="0" t="s">
        <v>782</v>
      </c>
      <c r="G581" s="0" t="str">
        <f aca="false">MID(D581,8,1)</f>
        <v>4</v>
      </c>
      <c r="H581" s="0" t="n">
        <v>1</v>
      </c>
    </row>
    <row r="582" customFormat="false" ht="15" hidden="false" customHeight="false" outlineLevel="0" collapsed="false">
      <c r="A582" s="0" t="s">
        <v>827</v>
      </c>
      <c r="B582" s="0" t="n">
        <v>5</v>
      </c>
      <c r="C582" s="0" t="str">
        <f aca="false">MID(A582,4,3)</f>
        <v>DAE</v>
      </c>
      <c r="D582" s="0" t="str">
        <f aca="false">CONCATENATE(LEFT(A582,15),2)</f>
        <v>PX-DAE-4A-3538-2</v>
      </c>
      <c r="E582" s="0" t="str">
        <f aca="false">MID(A582,16,3)</f>
        <v>000</v>
      </c>
      <c r="F582" s="0" t="s">
        <v>782</v>
      </c>
      <c r="G582" s="0" t="str">
        <f aca="false">MID(D582,8,1)</f>
        <v>4</v>
      </c>
      <c r="H582" s="0" t="n">
        <v>1</v>
      </c>
    </row>
    <row r="583" customFormat="false" ht="15" hidden="false" customHeight="false" outlineLevel="0" collapsed="false">
      <c r="A583" s="0" t="s">
        <v>828</v>
      </c>
      <c r="B583" s="0" t="n">
        <v>5</v>
      </c>
      <c r="C583" s="0" t="str">
        <f aca="false">MID(A583,4,3)</f>
        <v>DAE</v>
      </c>
      <c r="D583" s="0" t="str">
        <f aca="false">CONCATENATE(LEFT(A583,15),2)</f>
        <v>PX-DAE-4A-3538-2</v>
      </c>
      <c r="E583" s="0" t="str">
        <f aca="false">MID(A583,16,3)</f>
        <v>025</v>
      </c>
      <c r="F583" s="0" t="s">
        <v>782</v>
      </c>
      <c r="G583" s="0" t="str">
        <f aca="false">MID(D583,8,1)</f>
        <v>4</v>
      </c>
      <c r="H583" s="0" t="n">
        <v>1</v>
      </c>
    </row>
    <row r="584" customFormat="false" ht="15" hidden="false" customHeight="false" outlineLevel="0" collapsed="false">
      <c r="A584" s="0" t="s">
        <v>829</v>
      </c>
      <c r="B584" s="0" t="n">
        <v>5</v>
      </c>
      <c r="C584" s="0" t="str">
        <f aca="false">MID(A584,4,3)</f>
        <v>DAE</v>
      </c>
      <c r="D584" s="0" t="str">
        <f aca="false">CONCATENATE(LEFT(A584,15),2)</f>
        <v>PX-DAE-4A-3538-2</v>
      </c>
      <c r="E584" s="0" t="str">
        <f aca="false">MID(A584,16,3)</f>
        <v>050</v>
      </c>
      <c r="F584" s="0" t="s">
        <v>782</v>
      </c>
      <c r="G584" s="0" t="str">
        <f aca="false">MID(D584,8,1)</f>
        <v>4</v>
      </c>
      <c r="H584" s="0" t="n">
        <v>1</v>
      </c>
    </row>
    <row r="585" customFormat="false" ht="15" hidden="false" customHeight="false" outlineLevel="0" collapsed="false">
      <c r="A585" s="0" t="s">
        <v>830</v>
      </c>
      <c r="B585" s="0" t="n">
        <v>5</v>
      </c>
      <c r="C585" s="0" t="str">
        <f aca="false">MID(A585,4,3)</f>
        <v>DAE</v>
      </c>
      <c r="D585" s="0" t="str">
        <f aca="false">CONCATENATE(LEFT(A585,15),2)</f>
        <v>PX-DAE-4A-3538-2</v>
      </c>
      <c r="E585" s="0" t="str">
        <f aca="false">MID(A585,16,3)</f>
        <v>075</v>
      </c>
      <c r="F585" s="0" t="s">
        <v>782</v>
      </c>
      <c r="G585" s="0" t="str">
        <f aca="false">MID(D585,8,1)</f>
        <v>4</v>
      </c>
      <c r="H585" s="0" t="n">
        <v>1</v>
      </c>
    </row>
    <row r="586" customFormat="false" ht="15" hidden="false" customHeight="false" outlineLevel="0" collapsed="false">
      <c r="A586" s="0" t="s">
        <v>831</v>
      </c>
      <c r="B586" s="0" t="n">
        <v>5</v>
      </c>
      <c r="C586" s="0" t="str">
        <f aca="false">MID(A586,4,3)</f>
        <v>DAE</v>
      </c>
      <c r="D586" s="0" t="str">
        <f aca="false">CONCATENATE(LEFT(A586,15),2)</f>
        <v>PX-DAE-4A-3538-2</v>
      </c>
      <c r="E586" s="0" t="str">
        <f aca="false">MID(A586,16,3)</f>
        <v>100</v>
      </c>
      <c r="F586" s="0" t="s">
        <v>782</v>
      </c>
      <c r="G586" s="0" t="str">
        <f aca="false">MID(D586,8,1)</f>
        <v>4</v>
      </c>
      <c r="H586" s="0" t="n">
        <v>1</v>
      </c>
    </row>
    <row r="587" customFormat="false" ht="15" hidden="false" customHeight="false" outlineLevel="0" collapsed="false">
      <c r="A587" s="0" t="s">
        <v>832</v>
      </c>
      <c r="B587" s="0" t="n">
        <v>5</v>
      </c>
      <c r="C587" s="0" t="str">
        <f aca="false">MID(A587,4,3)</f>
        <v>DAE</v>
      </c>
      <c r="D587" s="0" t="str">
        <f aca="false">LEFT(A587,LEN(A587)-4)</f>
        <v>PX-DAE-4A-3548</v>
      </c>
      <c r="E587" s="0" t="str">
        <f aca="false">RIGHT(A587,3)</f>
        <v>000</v>
      </c>
      <c r="F587" s="0" t="s">
        <v>782</v>
      </c>
      <c r="G587" s="0" t="str">
        <f aca="false">MID(D587,8,1)</f>
        <v>4</v>
      </c>
      <c r="H587" s="0" t="n">
        <v>1</v>
      </c>
    </row>
    <row r="588" customFormat="false" ht="15" hidden="false" customHeight="false" outlineLevel="0" collapsed="false">
      <c r="A588" s="0" t="s">
        <v>833</v>
      </c>
      <c r="B588" s="0" t="n">
        <v>5</v>
      </c>
      <c r="C588" s="0" t="str">
        <f aca="false">MID(A588,4,3)</f>
        <v>DAE</v>
      </c>
      <c r="D588" s="0" t="str">
        <f aca="false">LEFT(A588,LEN(A588)-4)</f>
        <v>PX-DAE-4A-3548</v>
      </c>
      <c r="E588" s="0" t="str">
        <f aca="false">RIGHT(A588,3)</f>
        <v>025</v>
      </c>
      <c r="F588" s="0" t="s">
        <v>782</v>
      </c>
      <c r="G588" s="0" t="str">
        <f aca="false">MID(D588,8,1)</f>
        <v>4</v>
      </c>
      <c r="H588" s="0" t="n">
        <v>1</v>
      </c>
    </row>
    <row r="589" customFormat="false" ht="15" hidden="false" customHeight="false" outlineLevel="0" collapsed="false">
      <c r="A589" s="0" t="s">
        <v>834</v>
      </c>
      <c r="B589" s="0" t="n">
        <v>5</v>
      </c>
      <c r="C589" s="0" t="str">
        <f aca="false">MID(A589,4,3)</f>
        <v>DAE</v>
      </c>
      <c r="D589" s="0" t="str">
        <f aca="false">LEFT(A589,LEN(A589)-4)</f>
        <v>PX-DAE-4A-3548</v>
      </c>
      <c r="E589" s="0" t="str">
        <f aca="false">RIGHT(A589,3)</f>
        <v>050</v>
      </c>
      <c r="F589" s="0" t="s">
        <v>782</v>
      </c>
      <c r="G589" s="0" t="str">
        <f aca="false">MID(D589,8,1)</f>
        <v>4</v>
      </c>
      <c r="H589" s="0" t="n">
        <v>1</v>
      </c>
    </row>
    <row r="590" customFormat="false" ht="15" hidden="false" customHeight="false" outlineLevel="0" collapsed="false">
      <c r="A590" s="0" t="s">
        <v>835</v>
      </c>
      <c r="B590" s="0" t="n">
        <v>5</v>
      </c>
      <c r="C590" s="0" t="str">
        <f aca="false">MID(A590,4,3)</f>
        <v>DAE</v>
      </c>
      <c r="D590" s="0" t="str">
        <f aca="false">LEFT(A590,LEN(A590)-4)</f>
        <v>PX-DAE-4A-3548</v>
      </c>
      <c r="E590" s="0" t="str">
        <f aca="false">RIGHT(A590,3)</f>
        <v>075</v>
      </c>
      <c r="F590" s="0" t="s">
        <v>782</v>
      </c>
      <c r="G590" s="0" t="str">
        <f aca="false">MID(D590,8,1)</f>
        <v>4</v>
      </c>
      <c r="H590" s="0" t="n">
        <v>1</v>
      </c>
    </row>
    <row r="591" customFormat="false" ht="15" hidden="false" customHeight="false" outlineLevel="0" collapsed="false">
      <c r="A591" s="0" t="s">
        <v>836</v>
      </c>
      <c r="B591" s="0" t="n">
        <v>5</v>
      </c>
      <c r="C591" s="0" t="str">
        <f aca="false">MID(A591,4,3)</f>
        <v>DAE</v>
      </c>
      <c r="D591" s="0" t="str">
        <f aca="false">LEFT(A591,LEN(A591)-4)</f>
        <v>PX-DAE-4A-3548</v>
      </c>
      <c r="E591" s="0" t="str">
        <f aca="false">RIGHT(A591,3)</f>
        <v>100</v>
      </c>
      <c r="F591" s="0" t="s">
        <v>782</v>
      </c>
      <c r="G591" s="0" t="str">
        <f aca="false">MID(D591,8,1)</f>
        <v>4</v>
      </c>
      <c r="H591" s="0" t="n">
        <v>1</v>
      </c>
    </row>
    <row r="592" customFormat="false" ht="15" hidden="false" customHeight="false" outlineLevel="0" collapsed="false">
      <c r="A592" s="0" t="s">
        <v>837</v>
      </c>
      <c r="B592" s="0" t="n">
        <v>5</v>
      </c>
      <c r="C592" s="0" t="str">
        <f aca="false">MID(A592,4,3)</f>
        <v>DAE</v>
      </c>
      <c r="D592" s="0" t="str">
        <f aca="false">CONCATENATE(LEFT(A592,15),2)</f>
        <v>PX-DAE-4A-3548-2</v>
      </c>
      <c r="E592" s="0" t="str">
        <f aca="false">MID(A592,16,3)</f>
        <v>000</v>
      </c>
      <c r="F592" s="0" t="s">
        <v>782</v>
      </c>
      <c r="G592" s="0" t="str">
        <f aca="false">MID(D592,8,1)</f>
        <v>4</v>
      </c>
      <c r="H592" s="0" t="n">
        <v>1</v>
      </c>
    </row>
    <row r="593" customFormat="false" ht="15" hidden="false" customHeight="false" outlineLevel="0" collapsed="false">
      <c r="A593" s="0" t="s">
        <v>838</v>
      </c>
      <c r="B593" s="0" t="n">
        <v>5</v>
      </c>
      <c r="C593" s="0" t="str">
        <f aca="false">MID(A593,4,3)</f>
        <v>DAE</v>
      </c>
      <c r="D593" s="0" t="str">
        <f aca="false">CONCATENATE(LEFT(A593,15),2)</f>
        <v>PX-DAE-4A-3548-2</v>
      </c>
      <c r="E593" s="0" t="str">
        <f aca="false">MID(A593,16,3)</f>
        <v>025</v>
      </c>
      <c r="F593" s="0" t="s">
        <v>782</v>
      </c>
      <c r="G593" s="0" t="str">
        <f aca="false">MID(D593,8,1)</f>
        <v>4</v>
      </c>
      <c r="H593" s="0" t="n">
        <v>1</v>
      </c>
    </row>
    <row r="594" customFormat="false" ht="15" hidden="false" customHeight="false" outlineLevel="0" collapsed="false">
      <c r="A594" s="0" t="s">
        <v>839</v>
      </c>
      <c r="B594" s="0" t="n">
        <v>5</v>
      </c>
      <c r="C594" s="0" t="str">
        <f aca="false">MID(A594,4,3)</f>
        <v>DAE</v>
      </c>
      <c r="D594" s="0" t="str">
        <f aca="false">CONCATENATE(LEFT(A594,15),2)</f>
        <v>PX-DAE-4A-3548-2</v>
      </c>
      <c r="E594" s="0" t="str">
        <f aca="false">MID(A594,16,3)</f>
        <v>050</v>
      </c>
      <c r="F594" s="0" t="s">
        <v>782</v>
      </c>
      <c r="G594" s="0" t="str">
        <f aca="false">MID(D594,8,1)</f>
        <v>4</v>
      </c>
      <c r="H594" s="0" t="n">
        <v>1</v>
      </c>
    </row>
    <row r="595" customFormat="false" ht="15" hidden="false" customHeight="false" outlineLevel="0" collapsed="false">
      <c r="A595" s="0" t="s">
        <v>840</v>
      </c>
      <c r="B595" s="0" t="n">
        <v>5</v>
      </c>
      <c r="C595" s="0" t="str">
        <f aca="false">MID(A595,4,3)</f>
        <v>DAE</v>
      </c>
      <c r="D595" s="0" t="str">
        <f aca="false">CONCATENATE(LEFT(A595,15),2)</f>
        <v>PX-DAE-4A-3548-2</v>
      </c>
      <c r="E595" s="0" t="str">
        <f aca="false">MID(A595,16,3)</f>
        <v>075</v>
      </c>
      <c r="F595" s="0" t="s">
        <v>782</v>
      </c>
      <c r="G595" s="0" t="str">
        <f aca="false">MID(D595,8,1)</f>
        <v>4</v>
      </c>
      <c r="H595" s="0" t="n">
        <v>1</v>
      </c>
    </row>
    <row r="596" customFormat="false" ht="15" hidden="false" customHeight="false" outlineLevel="0" collapsed="false">
      <c r="A596" s="0" t="s">
        <v>841</v>
      </c>
      <c r="B596" s="0" t="n">
        <v>5</v>
      </c>
      <c r="C596" s="0" t="str">
        <f aca="false">MID(A596,4,3)</f>
        <v>DAE</v>
      </c>
      <c r="D596" s="0" t="str">
        <f aca="false">CONCATENATE(LEFT(A596,15),2)</f>
        <v>PX-DAE-4A-3548-2</v>
      </c>
      <c r="E596" s="0" t="str">
        <f aca="false">MID(A596,16,3)</f>
        <v>100</v>
      </c>
      <c r="F596" s="0" t="s">
        <v>782</v>
      </c>
      <c r="G596" s="0" t="str">
        <f aca="false">MID(D596,8,1)</f>
        <v>4</v>
      </c>
      <c r="H596" s="0" t="n">
        <v>1</v>
      </c>
    </row>
    <row r="597" customFormat="false" ht="15" hidden="false" customHeight="false" outlineLevel="0" collapsed="false">
      <c r="A597" s="0" t="s">
        <v>842</v>
      </c>
      <c r="B597" s="0" t="n">
        <v>5</v>
      </c>
      <c r="C597" s="0" t="str">
        <f aca="false">MID(A597,4,3)</f>
        <v>DAE</v>
      </c>
      <c r="D597" s="0" t="str">
        <f aca="false">LEFT(A597,LEN(A597)-4)</f>
        <v>PX-DAE-4F-1402</v>
      </c>
      <c r="E597" s="0" t="str">
        <f aca="false">RIGHT(A597,3)</f>
        <v>000</v>
      </c>
      <c r="F597" s="0" t="s">
        <v>782</v>
      </c>
      <c r="G597" s="0" t="str">
        <f aca="false">MID(D597,8,1)</f>
        <v>4</v>
      </c>
      <c r="H597" s="0" t="n">
        <v>1</v>
      </c>
    </row>
    <row r="598" customFormat="false" ht="15" hidden="false" customHeight="false" outlineLevel="0" collapsed="false">
      <c r="A598" s="0" t="s">
        <v>843</v>
      </c>
      <c r="B598" s="0" t="n">
        <v>5</v>
      </c>
      <c r="C598" s="0" t="str">
        <f aca="false">MID(A598,4,3)</f>
        <v>DAE</v>
      </c>
      <c r="D598" s="0" t="str">
        <f aca="false">LEFT(A598,LEN(A598)-4)</f>
        <v>PX-DAE-4F-1402</v>
      </c>
      <c r="E598" s="0" t="str">
        <f aca="false">RIGHT(A598,3)</f>
        <v>025</v>
      </c>
      <c r="F598" s="0" t="s">
        <v>782</v>
      </c>
      <c r="G598" s="0" t="str">
        <f aca="false">MID(D598,8,1)</f>
        <v>4</v>
      </c>
      <c r="H598" s="0" t="n">
        <v>1</v>
      </c>
    </row>
    <row r="599" customFormat="false" ht="15" hidden="false" customHeight="false" outlineLevel="0" collapsed="false">
      <c r="A599" s="0" t="s">
        <v>844</v>
      </c>
      <c r="B599" s="0" t="n">
        <v>5</v>
      </c>
      <c r="C599" s="0" t="str">
        <f aca="false">MID(A599,4,3)</f>
        <v>DAE</v>
      </c>
      <c r="D599" s="0" t="str">
        <f aca="false">LEFT(A599,LEN(A599)-4)</f>
        <v>PX-DAE-4F-1402</v>
      </c>
      <c r="E599" s="0" t="str">
        <f aca="false">RIGHT(A599,3)</f>
        <v>050</v>
      </c>
      <c r="F599" s="0" t="s">
        <v>782</v>
      </c>
      <c r="G599" s="0" t="str">
        <f aca="false">MID(D599,8,1)</f>
        <v>4</v>
      </c>
      <c r="H599" s="0" t="n">
        <v>1</v>
      </c>
    </row>
    <row r="600" customFormat="false" ht="15" hidden="false" customHeight="false" outlineLevel="0" collapsed="false">
      <c r="A600" s="0" t="s">
        <v>845</v>
      </c>
      <c r="B600" s="0" t="n">
        <v>5</v>
      </c>
      <c r="C600" s="0" t="str">
        <f aca="false">MID(A600,4,3)</f>
        <v>DAE</v>
      </c>
      <c r="D600" s="0" t="str">
        <f aca="false">LEFT(A600,LEN(A600)-4)</f>
        <v>PX-DAE-4F-3538</v>
      </c>
      <c r="E600" s="0" t="str">
        <f aca="false">RIGHT(A600,3)</f>
        <v>000</v>
      </c>
      <c r="F600" s="0" t="s">
        <v>782</v>
      </c>
      <c r="G600" s="0" t="str">
        <f aca="false">MID(D600,8,1)</f>
        <v>4</v>
      </c>
      <c r="H600" s="0" t="n">
        <v>1</v>
      </c>
    </row>
    <row r="601" customFormat="false" ht="15" hidden="false" customHeight="false" outlineLevel="0" collapsed="false">
      <c r="A601" s="0" t="s">
        <v>846</v>
      </c>
      <c r="B601" s="0" t="n">
        <v>5</v>
      </c>
      <c r="C601" s="0" t="str">
        <f aca="false">MID(A601,4,3)</f>
        <v>DAE</v>
      </c>
      <c r="D601" s="0" t="str">
        <f aca="false">LEFT(A601,LEN(A601)-4)</f>
        <v>PX-DAE-4F-3538</v>
      </c>
      <c r="E601" s="0" t="str">
        <f aca="false">RIGHT(A601,3)</f>
        <v>025</v>
      </c>
      <c r="F601" s="0" t="s">
        <v>782</v>
      </c>
      <c r="G601" s="0" t="str">
        <f aca="false">MID(D601,8,1)</f>
        <v>4</v>
      </c>
      <c r="H601" s="0" t="n">
        <v>1</v>
      </c>
    </row>
    <row r="602" customFormat="false" ht="15" hidden="false" customHeight="false" outlineLevel="0" collapsed="false">
      <c r="A602" s="0" t="s">
        <v>847</v>
      </c>
      <c r="B602" s="0" t="n">
        <v>5</v>
      </c>
      <c r="C602" s="0" t="str">
        <f aca="false">MID(A602,4,3)</f>
        <v>DAE</v>
      </c>
      <c r="D602" s="0" t="str">
        <f aca="false">LEFT(A602,LEN(A602)-4)</f>
        <v>PX-DAE-4F-3538</v>
      </c>
      <c r="E602" s="0" t="str">
        <f aca="false">RIGHT(A602,3)</f>
        <v>050</v>
      </c>
      <c r="F602" s="0" t="s">
        <v>782</v>
      </c>
      <c r="G602" s="0" t="str">
        <f aca="false">MID(D602,8,1)</f>
        <v>4</v>
      </c>
      <c r="H602" s="0" t="n">
        <v>1</v>
      </c>
    </row>
    <row r="603" customFormat="false" ht="15" hidden="false" customHeight="false" outlineLevel="0" collapsed="false">
      <c r="A603" s="0" t="s">
        <v>848</v>
      </c>
      <c r="B603" s="0" t="n">
        <v>5</v>
      </c>
      <c r="C603" s="0" t="str">
        <f aca="false">MID(A603,4,3)</f>
        <v>DAE</v>
      </c>
      <c r="D603" s="0" t="str">
        <f aca="false">LEFT(A603,LEN(A603)-4)</f>
        <v>PX-DAE-4F-3538</v>
      </c>
      <c r="E603" s="0" t="str">
        <f aca="false">RIGHT(A603,3)</f>
        <v>075</v>
      </c>
      <c r="F603" s="0" t="s">
        <v>782</v>
      </c>
      <c r="G603" s="0" t="str">
        <f aca="false">MID(D603,8,1)</f>
        <v>4</v>
      </c>
      <c r="H603" s="0" t="n">
        <v>1</v>
      </c>
    </row>
    <row r="604" customFormat="false" ht="15" hidden="false" customHeight="false" outlineLevel="0" collapsed="false">
      <c r="A604" s="0" t="s">
        <v>849</v>
      </c>
      <c r="B604" s="0" t="n">
        <v>5</v>
      </c>
      <c r="C604" s="0" t="str">
        <f aca="false">MID(A604,4,3)</f>
        <v>DAE</v>
      </c>
      <c r="D604" s="0" t="str">
        <f aca="false">LEFT(A604,LEN(A604)-4)</f>
        <v>PX-DAE-4F-3538</v>
      </c>
      <c r="E604" s="0" t="str">
        <f aca="false">RIGHT(A604,3)</f>
        <v>100</v>
      </c>
      <c r="F604" s="0" t="s">
        <v>782</v>
      </c>
      <c r="G604" s="0" t="str">
        <f aca="false">MID(D604,8,1)</f>
        <v>4</v>
      </c>
      <c r="H604" s="0" t="n">
        <v>1</v>
      </c>
    </row>
    <row r="605" customFormat="false" ht="15" hidden="false" customHeight="false" outlineLevel="0" collapsed="false">
      <c r="A605" s="0" t="s">
        <v>850</v>
      </c>
      <c r="B605" s="0" t="n">
        <v>5</v>
      </c>
      <c r="C605" s="0" t="str">
        <f aca="false">MID(A605,4,3)</f>
        <v>DAE</v>
      </c>
      <c r="D605" s="0" t="str">
        <f aca="false">CONCATENATE(LEFT(A605,15),2)</f>
        <v>PX-DAE-4F-3538-2</v>
      </c>
      <c r="E605" s="0" t="str">
        <f aca="false">MID(A605,16,3)</f>
        <v>000</v>
      </c>
      <c r="F605" s="0" t="s">
        <v>782</v>
      </c>
      <c r="G605" s="0" t="str">
        <f aca="false">MID(D605,8,1)</f>
        <v>4</v>
      </c>
      <c r="H605" s="0" t="n">
        <v>1</v>
      </c>
    </row>
    <row r="606" customFormat="false" ht="15" hidden="false" customHeight="false" outlineLevel="0" collapsed="false">
      <c r="A606" s="0" t="s">
        <v>851</v>
      </c>
      <c r="B606" s="0" t="n">
        <v>5</v>
      </c>
      <c r="C606" s="0" t="str">
        <f aca="false">MID(A606,4,3)</f>
        <v>DAE</v>
      </c>
      <c r="D606" s="0" t="str">
        <f aca="false">CONCATENATE(LEFT(A606,15),2)</f>
        <v>PX-DAE-4F-3538-2</v>
      </c>
      <c r="E606" s="0" t="str">
        <f aca="false">MID(A606,16,3)</f>
        <v>025</v>
      </c>
      <c r="F606" s="0" t="s">
        <v>782</v>
      </c>
      <c r="G606" s="0" t="str">
        <f aca="false">MID(D606,8,1)</f>
        <v>4</v>
      </c>
      <c r="H606" s="0" t="n">
        <v>1</v>
      </c>
    </row>
    <row r="607" customFormat="false" ht="15" hidden="false" customHeight="false" outlineLevel="0" collapsed="false">
      <c r="A607" s="0" t="s">
        <v>852</v>
      </c>
      <c r="B607" s="0" t="n">
        <v>5</v>
      </c>
      <c r="C607" s="0" t="str">
        <f aca="false">MID(A607,4,3)</f>
        <v>DAE</v>
      </c>
      <c r="D607" s="0" t="str">
        <f aca="false">CONCATENATE(LEFT(A607,15),2)</f>
        <v>PX-DAE-4F-3538-2</v>
      </c>
      <c r="E607" s="0" t="str">
        <f aca="false">MID(A607,16,3)</f>
        <v>050</v>
      </c>
      <c r="F607" s="0" t="s">
        <v>782</v>
      </c>
      <c r="G607" s="0" t="str">
        <f aca="false">MID(D607,8,1)</f>
        <v>4</v>
      </c>
      <c r="H607" s="0" t="n">
        <v>1</v>
      </c>
    </row>
    <row r="608" customFormat="false" ht="15" hidden="false" customHeight="false" outlineLevel="0" collapsed="false">
      <c r="A608" s="0" t="s">
        <v>853</v>
      </c>
      <c r="B608" s="0" t="n">
        <v>5</v>
      </c>
      <c r="C608" s="0" t="str">
        <f aca="false">MID(A608,4,3)</f>
        <v>DAE</v>
      </c>
      <c r="D608" s="0" t="str">
        <f aca="false">CONCATENATE(LEFT(A608,15),2)</f>
        <v>PX-DAE-4F-3538-2</v>
      </c>
      <c r="E608" s="0" t="str">
        <f aca="false">MID(A608,16,3)</f>
        <v>075</v>
      </c>
      <c r="F608" s="0" t="s">
        <v>782</v>
      </c>
      <c r="G608" s="0" t="str">
        <f aca="false">MID(D608,8,1)</f>
        <v>4</v>
      </c>
      <c r="H608" s="0" t="n">
        <v>1</v>
      </c>
    </row>
    <row r="609" customFormat="false" ht="15" hidden="false" customHeight="false" outlineLevel="0" collapsed="false">
      <c r="A609" s="0" t="s">
        <v>854</v>
      </c>
      <c r="B609" s="0" t="n">
        <v>5</v>
      </c>
      <c r="C609" s="0" t="str">
        <f aca="false">MID(A609,4,3)</f>
        <v>DAE</v>
      </c>
      <c r="D609" s="0" t="str">
        <f aca="false">CONCATENATE(LEFT(A609,15),2)</f>
        <v>PX-DAE-4F-3538-2</v>
      </c>
      <c r="E609" s="0" t="str">
        <f aca="false">MID(A609,16,3)</f>
        <v>100</v>
      </c>
      <c r="F609" s="0" t="s">
        <v>782</v>
      </c>
      <c r="G609" s="0" t="str">
        <f aca="false">MID(D609,8,1)</f>
        <v>4</v>
      </c>
      <c r="H609" s="0" t="n">
        <v>1</v>
      </c>
    </row>
    <row r="610" customFormat="false" ht="15" hidden="false" customHeight="false" outlineLevel="0" collapsed="false">
      <c r="A610" s="0" t="s">
        <v>855</v>
      </c>
      <c r="B610" s="0" t="n">
        <v>5</v>
      </c>
      <c r="C610" s="0" t="str">
        <f aca="false">MID(A610,4,3)</f>
        <v>DAE</v>
      </c>
      <c r="D610" s="0" t="str">
        <f aca="false">LEFT(A610,LEN(A610)-4)</f>
        <v>PX-DAE-4F-3548</v>
      </c>
      <c r="E610" s="0" t="str">
        <f aca="false">RIGHT(A610,3)</f>
        <v>000</v>
      </c>
      <c r="F610" s="0" t="s">
        <v>782</v>
      </c>
      <c r="G610" s="0" t="str">
        <f aca="false">MID(D610,8,1)</f>
        <v>4</v>
      </c>
      <c r="H610" s="0" t="n">
        <v>1</v>
      </c>
    </row>
    <row r="611" customFormat="false" ht="15" hidden="false" customHeight="false" outlineLevel="0" collapsed="false">
      <c r="A611" s="0" t="s">
        <v>856</v>
      </c>
      <c r="B611" s="0" t="n">
        <v>5</v>
      </c>
      <c r="C611" s="0" t="str">
        <f aca="false">MID(A611,4,3)</f>
        <v>DAE</v>
      </c>
      <c r="D611" s="0" t="str">
        <f aca="false">LEFT(A611,LEN(A611)-4)</f>
        <v>PX-DAE-4F-3548</v>
      </c>
      <c r="E611" s="0" t="str">
        <f aca="false">RIGHT(A611,3)</f>
        <v>025</v>
      </c>
      <c r="F611" s="0" t="s">
        <v>782</v>
      </c>
      <c r="G611" s="0" t="str">
        <f aca="false">MID(D611,8,1)</f>
        <v>4</v>
      </c>
      <c r="H611" s="0" t="n">
        <v>1</v>
      </c>
    </row>
    <row r="612" customFormat="false" ht="15" hidden="false" customHeight="false" outlineLevel="0" collapsed="false">
      <c r="A612" s="0" t="s">
        <v>857</v>
      </c>
      <c r="B612" s="0" t="n">
        <v>5</v>
      </c>
      <c r="C612" s="0" t="str">
        <f aca="false">MID(A612,4,3)</f>
        <v>DAE</v>
      </c>
      <c r="D612" s="0" t="str">
        <f aca="false">LEFT(A612,LEN(A612)-4)</f>
        <v>PX-DAE-4F-3548</v>
      </c>
      <c r="E612" s="0" t="str">
        <f aca="false">RIGHT(A612,3)</f>
        <v>050</v>
      </c>
      <c r="F612" s="0" t="s">
        <v>782</v>
      </c>
      <c r="G612" s="0" t="str">
        <f aca="false">MID(D612,8,1)</f>
        <v>4</v>
      </c>
      <c r="H612" s="0" t="n">
        <v>1</v>
      </c>
    </row>
    <row r="613" customFormat="false" ht="15" hidden="false" customHeight="false" outlineLevel="0" collapsed="false">
      <c r="A613" s="0" t="s">
        <v>858</v>
      </c>
      <c r="B613" s="0" t="n">
        <v>5</v>
      </c>
      <c r="C613" s="0" t="str">
        <f aca="false">MID(A613,4,3)</f>
        <v>DAE</v>
      </c>
      <c r="D613" s="0" t="str">
        <f aca="false">LEFT(A613,LEN(A613)-4)</f>
        <v>PX-DAE-4F-3548</v>
      </c>
      <c r="E613" s="0" t="str">
        <f aca="false">RIGHT(A613,3)</f>
        <v>075</v>
      </c>
      <c r="F613" s="0" t="s">
        <v>782</v>
      </c>
      <c r="G613" s="0" t="str">
        <f aca="false">MID(D613,8,1)</f>
        <v>4</v>
      </c>
      <c r="H613" s="0" t="n">
        <v>1</v>
      </c>
    </row>
    <row r="614" customFormat="false" ht="15" hidden="false" customHeight="false" outlineLevel="0" collapsed="false">
      <c r="A614" s="0" t="s">
        <v>859</v>
      </c>
      <c r="B614" s="0" t="n">
        <v>5</v>
      </c>
      <c r="C614" s="0" t="str">
        <f aca="false">MID(A614,4,3)</f>
        <v>DAE</v>
      </c>
      <c r="D614" s="0" t="str">
        <f aca="false">LEFT(A614,LEN(A614)-4)</f>
        <v>PX-DAE-4F-3548</v>
      </c>
      <c r="E614" s="0" t="str">
        <f aca="false">RIGHT(A614,3)</f>
        <v>100</v>
      </c>
      <c r="F614" s="0" t="s">
        <v>782</v>
      </c>
      <c r="G614" s="0" t="str">
        <f aca="false">MID(D614,8,1)</f>
        <v>4</v>
      </c>
      <c r="H614" s="0" t="n">
        <v>1</v>
      </c>
    </row>
    <row r="615" customFormat="false" ht="15" hidden="false" customHeight="false" outlineLevel="0" collapsed="false">
      <c r="A615" s="0" t="s">
        <v>860</v>
      </c>
      <c r="B615" s="0" t="n">
        <v>5</v>
      </c>
      <c r="C615" s="0" t="str">
        <f aca="false">MID(A615,4,3)</f>
        <v>DAE</v>
      </c>
      <c r="D615" s="0" t="str">
        <f aca="false">CONCATENATE(LEFT(A615,15),2)</f>
        <v>PX-DAE-4F-3548-2</v>
      </c>
      <c r="E615" s="0" t="str">
        <f aca="false">MID(A615,16,3)</f>
        <v>000</v>
      </c>
      <c r="F615" s="0" t="s">
        <v>782</v>
      </c>
      <c r="G615" s="0" t="str">
        <f aca="false">MID(D615,8,1)</f>
        <v>4</v>
      </c>
      <c r="H615" s="0" t="n">
        <v>1</v>
      </c>
    </row>
    <row r="616" customFormat="false" ht="15" hidden="false" customHeight="false" outlineLevel="0" collapsed="false">
      <c r="A616" s="0" t="s">
        <v>861</v>
      </c>
      <c r="B616" s="0" t="n">
        <v>5</v>
      </c>
      <c r="C616" s="0" t="str">
        <f aca="false">MID(A616,4,3)</f>
        <v>DAE</v>
      </c>
      <c r="D616" s="0" t="str">
        <f aca="false">CONCATENATE(LEFT(A616,15),2)</f>
        <v>PX-DAE-4F-3548-2</v>
      </c>
      <c r="E616" s="0" t="str">
        <f aca="false">MID(A616,16,3)</f>
        <v>025</v>
      </c>
      <c r="F616" s="0" t="s">
        <v>782</v>
      </c>
      <c r="G616" s="0" t="str">
        <f aca="false">MID(D616,8,1)</f>
        <v>4</v>
      </c>
      <c r="H616" s="0" t="n">
        <v>1</v>
      </c>
    </row>
    <row r="617" customFormat="false" ht="15" hidden="false" customHeight="false" outlineLevel="0" collapsed="false">
      <c r="A617" s="0" t="s">
        <v>862</v>
      </c>
      <c r="B617" s="0" t="n">
        <v>5</v>
      </c>
      <c r="C617" s="0" t="str">
        <f aca="false">MID(A617,4,3)</f>
        <v>DAE</v>
      </c>
      <c r="D617" s="0" t="str">
        <f aca="false">CONCATENATE(LEFT(A617,15),2)</f>
        <v>PX-DAE-4F-3548-2</v>
      </c>
      <c r="E617" s="0" t="str">
        <f aca="false">MID(A617,16,3)</f>
        <v>050</v>
      </c>
      <c r="F617" s="0" t="s">
        <v>782</v>
      </c>
      <c r="G617" s="0" t="str">
        <f aca="false">MID(D617,8,1)</f>
        <v>4</v>
      </c>
      <c r="H617" s="0" t="n">
        <v>1</v>
      </c>
    </row>
    <row r="618" customFormat="false" ht="15" hidden="false" customHeight="false" outlineLevel="0" collapsed="false">
      <c r="A618" s="0" t="s">
        <v>863</v>
      </c>
      <c r="B618" s="0" t="n">
        <v>5</v>
      </c>
      <c r="C618" s="0" t="str">
        <f aca="false">MID(A618,4,3)</f>
        <v>DAE</v>
      </c>
      <c r="D618" s="0" t="str">
        <f aca="false">CONCATENATE(LEFT(A618,15),2)</f>
        <v>PX-DAE-4F-3548-2</v>
      </c>
      <c r="E618" s="0" t="str">
        <f aca="false">MID(A618,16,3)</f>
        <v>075</v>
      </c>
      <c r="F618" s="0" t="s">
        <v>782</v>
      </c>
      <c r="G618" s="0" t="str">
        <f aca="false">MID(D618,8,1)</f>
        <v>4</v>
      </c>
      <c r="H618" s="0" t="n">
        <v>1</v>
      </c>
    </row>
    <row r="619" customFormat="false" ht="15" hidden="false" customHeight="false" outlineLevel="0" collapsed="false">
      <c r="A619" s="0" t="s">
        <v>864</v>
      </c>
      <c r="B619" s="0" t="n">
        <v>5</v>
      </c>
      <c r="C619" s="0" t="str">
        <f aca="false">MID(A619,4,3)</f>
        <v>DAE</v>
      </c>
      <c r="D619" s="0" t="str">
        <f aca="false">CONCATENATE(LEFT(A619,15),2)</f>
        <v>PX-DAE-4F-3548-2</v>
      </c>
      <c r="E619" s="0" t="str">
        <f aca="false">MID(A619,16,3)</f>
        <v>100</v>
      </c>
      <c r="F619" s="0" t="s">
        <v>782</v>
      </c>
      <c r="G619" s="0" t="str">
        <f aca="false">MID(D619,8,1)</f>
        <v>4</v>
      </c>
      <c r="H619" s="0" t="n">
        <v>1</v>
      </c>
    </row>
    <row r="620" customFormat="false" ht="15" hidden="false" customHeight="false" outlineLevel="0" collapsed="false">
      <c r="A620" s="0" t="s">
        <v>865</v>
      </c>
      <c r="B620" s="0" t="n">
        <v>5</v>
      </c>
      <c r="C620" s="0" t="str">
        <f aca="false">MID(A620,4,3)</f>
        <v>LAD</v>
      </c>
      <c r="D620" s="0" t="str">
        <f aca="false">A620</f>
        <v>PX-LAD-4A-2801-000</v>
      </c>
      <c r="E620" s="0" t="str">
        <f aca="false">RIGHT(A620,3)</f>
        <v>000</v>
      </c>
      <c r="F620" s="0" t="s">
        <v>782</v>
      </c>
      <c r="G620" s="0" t="str">
        <f aca="false">MID(D620,8,1)</f>
        <v>4</v>
      </c>
      <c r="H620" s="0" t="n">
        <v>1</v>
      </c>
    </row>
    <row r="621" customFormat="false" ht="15" hidden="false" customHeight="false" outlineLevel="0" collapsed="false">
      <c r="A621" s="0" t="s">
        <v>866</v>
      </c>
      <c r="B621" s="0" t="n">
        <v>5</v>
      </c>
      <c r="C621" s="0" t="str">
        <f aca="false">MID(A621,4,3)</f>
        <v>LAD</v>
      </c>
      <c r="D621" s="0" t="str">
        <f aca="false">LEFT(A621,18)</f>
        <v>PX-LAD-4A-2801-000</v>
      </c>
      <c r="E621" s="0" t="str">
        <f aca="false">RIGHT(A621,1)</f>
        <v>A</v>
      </c>
      <c r="F621" s="0" t="s">
        <v>782</v>
      </c>
      <c r="G621" s="0" t="str">
        <f aca="false">MID(D621,8,1)</f>
        <v>4</v>
      </c>
      <c r="H621" s="0" t="n">
        <v>1</v>
      </c>
    </row>
    <row r="622" customFormat="false" ht="15" hidden="false" customHeight="false" outlineLevel="0" collapsed="false">
      <c r="A622" s="0" t="s">
        <v>867</v>
      </c>
      <c r="B622" s="0" t="n">
        <v>5</v>
      </c>
      <c r="C622" s="0" t="str">
        <f aca="false">MID(A622,4,3)</f>
        <v>LAD</v>
      </c>
      <c r="D622" s="0" t="str">
        <f aca="false">LEFT(A622,18)</f>
        <v>PX-LAD-4A-2801-000</v>
      </c>
      <c r="E622" s="0" t="str">
        <f aca="false">RIGHT(A622,1)</f>
        <v>B</v>
      </c>
      <c r="F622" s="0" t="s">
        <v>782</v>
      </c>
      <c r="G622" s="0" t="str">
        <f aca="false">MID(D622,8,1)</f>
        <v>4</v>
      </c>
      <c r="H622" s="0" t="n">
        <v>1</v>
      </c>
    </row>
    <row r="623" customFormat="false" ht="15" hidden="false" customHeight="false" outlineLevel="0" collapsed="false">
      <c r="A623" s="0" t="s">
        <v>868</v>
      </c>
      <c r="B623" s="0" t="n">
        <v>5</v>
      </c>
      <c r="C623" s="0" t="str">
        <f aca="false">MID(A623,4,3)</f>
        <v>LAD</v>
      </c>
      <c r="D623" s="0" t="str">
        <f aca="false">LEFT(A623,18)</f>
        <v>PX-LAD-4A-2801-000</v>
      </c>
      <c r="E623" s="0" t="str">
        <f aca="false">RIGHT(A623,1)</f>
        <v>C</v>
      </c>
      <c r="F623" s="0" t="s">
        <v>782</v>
      </c>
      <c r="G623" s="0" t="str">
        <f aca="false">MID(D623,8,1)</f>
        <v>4</v>
      </c>
      <c r="H623" s="0" t="n">
        <v>1</v>
      </c>
    </row>
    <row r="624" customFormat="false" ht="15" hidden="false" customHeight="false" outlineLevel="0" collapsed="false">
      <c r="A624" s="0" t="s">
        <v>869</v>
      </c>
      <c r="B624" s="0" t="n">
        <v>5</v>
      </c>
      <c r="C624" s="0" t="str">
        <f aca="false">MID(A624,4,3)</f>
        <v>LAD</v>
      </c>
      <c r="D624" s="0" t="str">
        <f aca="false">LEFT(A624,18)</f>
        <v>PX-LAD-4A-2801-000</v>
      </c>
      <c r="E624" s="0" t="str">
        <f aca="false">RIGHT(A624,1)</f>
        <v>D</v>
      </c>
      <c r="F624" s="0" t="s">
        <v>782</v>
      </c>
      <c r="G624" s="0" t="str">
        <f aca="false">MID(D624,8,1)</f>
        <v>4</v>
      </c>
      <c r="H624" s="0" t="n">
        <v>1</v>
      </c>
    </row>
    <row r="625" customFormat="false" ht="15" hidden="false" customHeight="false" outlineLevel="0" collapsed="false">
      <c r="A625" s="0" t="s">
        <v>870</v>
      </c>
      <c r="B625" s="0" t="n">
        <v>5</v>
      </c>
      <c r="C625" s="0" t="str">
        <f aca="false">MID(A625,4,3)</f>
        <v>LAD</v>
      </c>
      <c r="D625" s="0" t="str">
        <f aca="false">LEFT(A625,18)</f>
        <v>PX-LAD-4A-2801-000</v>
      </c>
      <c r="E625" s="0" t="str">
        <f aca="false">RIGHT(A625,1)</f>
        <v>E</v>
      </c>
      <c r="F625" s="0" t="s">
        <v>782</v>
      </c>
      <c r="G625" s="0" t="str">
        <f aca="false">MID(D625,8,1)</f>
        <v>4</v>
      </c>
      <c r="H625" s="0" t="n">
        <v>1</v>
      </c>
    </row>
    <row r="626" customFormat="false" ht="15" hidden="false" customHeight="false" outlineLevel="0" collapsed="false">
      <c r="A626" s="0" t="s">
        <v>871</v>
      </c>
      <c r="B626" s="0" t="n">
        <v>5</v>
      </c>
      <c r="C626" s="0" t="str">
        <f aca="false">MID(A626,4,3)</f>
        <v>LAD</v>
      </c>
      <c r="D626" s="0" t="str">
        <f aca="false">LEFT(A626,18)</f>
        <v>PX-LAD-4A-2801-020</v>
      </c>
      <c r="E626" s="0" t="str">
        <f aca="false">RIGHT(A626,1)</f>
        <v>B</v>
      </c>
      <c r="F626" s="0" t="s">
        <v>782</v>
      </c>
      <c r="G626" s="0" t="str">
        <f aca="false">MID(D626,8,1)</f>
        <v>4</v>
      </c>
      <c r="H626" s="0" t="n">
        <v>1</v>
      </c>
    </row>
    <row r="627" customFormat="false" ht="15" hidden="false" customHeight="false" outlineLevel="0" collapsed="false">
      <c r="A627" s="0" t="s">
        <v>872</v>
      </c>
      <c r="B627" s="0" t="n">
        <v>5</v>
      </c>
      <c r="C627" s="0" t="str">
        <f aca="false">MID(A627,4,3)</f>
        <v>LAD</v>
      </c>
      <c r="D627" s="0" t="str">
        <f aca="false">A627</f>
        <v>PX-LAD-4A-2801-040</v>
      </c>
      <c r="E627" s="0" t="str">
        <f aca="false">RIGHT(A627,3)</f>
        <v>040</v>
      </c>
      <c r="F627" s="0" t="s">
        <v>782</v>
      </c>
      <c r="G627" s="0" t="str">
        <f aca="false">MID(D627,8,1)</f>
        <v>4</v>
      </c>
      <c r="H627" s="0" t="n">
        <v>1</v>
      </c>
    </row>
    <row r="628" customFormat="false" ht="15" hidden="false" customHeight="false" outlineLevel="0" collapsed="false">
      <c r="A628" s="0" t="s">
        <v>873</v>
      </c>
      <c r="B628" s="0" t="n">
        <v>5</v>
      </c>
      <c r="C628" s="0" t="str">
        <f aca="false">MID(A628,4,3)</f>
        <v>LAD</v>
      </c>
      <c r="D628" s="0" t="str">
        <f aca="false">LEFT(A628,18)</f>
        <v>PX-LAD-4A-2801-040</v>
      </c>
      <c r="E628" s="0" t="str">
        <f aca="false">RIGHT(A628,1)</f>
        <v>A</v>
      </c>
      <c r="F628" s="0" t="s">
        <v>782</v>
      </c>
      <c r="G628" s="0" t="str">
        <f aca="false">MID(D628,8,1)</f>
        <v>4</v>
      </c>
      <c r="H628" s="0" t="n">
        <v>1</v>
      </c>
    </row>
    <row r="629" customFormat="false" ht="15" hidden="false" customHeight="false" outlineLevel="0" collapsed="false">
      <c r="A629" s="0" t="s">
        <v>874</v>
      </c>
      <c r="B629" s="0" t="n">
        <v>5</v>
      </c>
      <c r="C629" s="0" t="str">
        <f aca="false">MID(A629,4,3)</f>
        <v>LAD</v>
      </c>
      <c r="D629" s="0" t="str">
        <f aca="false">LEFT(A629,18)</f>
        <v>PX-LAD-4A-2801-040</v>
      </c>
      <c r="E629" s="0" t="str">
        <f aca="false">RIGHT(A629,1)</f>
        <v>B</v>
      </c>
      <c r="F629" s="0" t="s">
        <v>782</v>
      </c>
      <c r="G629" s="0" t="str">
        <f aca="false">MID(D629,8,1)</f>
        <v>4</v>
      </c>
      <c r="H629" s="0" t="n">
        <v>1</v>
      </c>
    </row>
    <row r="630" customFormat="false" ht="15" hidden="false" customHeight="false" outlineLevel="0" collapsed="false">
      <c r="A630" s="0" t="s">
        <v>875</v>
      </c>
      <c r="B630" s="0" t="n">
        <v>5</v>
      </c>
      <c r="C630" s="0" t="str">
        <f aca="false">MID(A630,4,3)</f>
        <v>LAD</v>
      </c>
      <c r="D630" s="0" t="str">
        <f aca="false">LEFT(A630,18)</f>
        <v>PX-LAD-4A-2801-040</v>
      </c>
      <c r="E630" s="0" t="str">
        <f aca="false">RIGHT(A630,1)</f>
        <v>C</v>
      </c>
      <c r="F630" s="0" t="s">
        <v>782</v>
      </c>
      <c r="G630" s="0" t="str">
        <f aca="false">MID(D630,8,1)</f>
        <v>4</v>
      </c>
      <c r="H630" s="0" t="n">
        <v>1</v>
      </c>
    </row>
    <row r="631" customFormat="false" ht="15" hidden="false" customHeight="false" outlineLevel="0" collapsed="false">
      <c r="A631" s="0" t="s">
        <v>876</v>
      </c>
      <c r="B631" s="0" t="n">
        <v>5</v>
      </c>
      <c r="C631" s="0" t="str">
        <f aca="false">MID(A631,4,3)</f>
        <v>LAD</v>
      </c>
      <c r="D631" s="0" t="str">
        <f aca="false">LEFT(A631,18)</f>
        <v>PX-LAD-4A-2801-040</v>
      </c>
      <c r="E631" s="0" t="str">
        <f aca="false">RIGHT(A631,1)</f>
        <v>D</v>
      </c>
      <c r="F631" s="0" t="s">
        <v>782</v>
      </c>
      <c r="G631" s="0" t="str">
        <f aca="false">MID(D631,8,1)</f>
        <v>4</v>
      </c>
      <c r="H631" s="0" t="n">
        <v>1</v>
      </c>
    </row>
    <row r="632" customFormat="false" ht="15" hidden="false" customHeight="false" outlineLevel="0" collapsed="false">
      <c r="A632" s="0" t="s">
        <v>877</v>
      </c>
      <c r="B632" s="0" t="n">
        <v>5</v>
      </c>
      <c r="C632" s="0" t="str">
        <f aca="false">MID(A632,4,3)</f>
        <v>LAD</v>
      </c>
      <c r="D632" s="0" t="str">
        <f aca="false">LEFT(A632,18)</f>
        <v>PX-LAD-4A-2801-040</v>
      </c>
      <c r="E632" s="0" t="str">
        <f aca="false">RIGHT(A632,1)</f>
        <v>E</v>
      </c>
      <c r="F632" s="0" t="s">
        <v>782</v>
      </c>
      <c r="G632" s="0" t="str">
        <f aca="false">MID(D632,8,1)</f>
        <v>4</v>
      </c>
      <c r="H632" s="0" t="n">
        <v>1</v>
      </c>
    </row>
    <row r="633" customFormat="false" ht="15" hidden="false" customHeight="false" outlineLevel="0" collapsed="false">
      <c r="A633" s="0" t="s">
        <v>878</v>
      </c>
      <c r="B633" s="0" t="n">
        <v>5</v>
      </c>
      <c r="C633" s="0" t="str">
        <f aca="false">MID(A633,4,3)</f>
        <v>LAD</v>
      </c>
      <c r="D633" s="0" t="str">
        <f aca="false">A633</f>
        <v>PX-LAD-4A-2801-060</v>
      </c>
      <c r="E633" s="0" t="str">
        <f aca="false">RIGHT(A633,3)</f>
        <v>060</v>
      </c>
      <c r="F633" s="0" t="s">
        <v>782</v>
      </c>
      <c r="G633" s="0" t="str">
        <f aca="false">MID(D633,8,1)</f>
        <v>4</v>
      </c>
      <c r="H633" s="0" t="n">
        <v>1</v>
      </c>
    </row>
    <row r="634" customFormat="false" ht="15" hidden="false" customHeight="false" outlineLevel="0" collapsed="false">
      <c r="A634" s="0" t="s">
        <v>879</v>
      </c>
      <c r="B634" s="0" t="n">
        <v>5</v>
      </c>
      <c r="C634" s="0" t="str">
        <f aca="false">MID(A634,4,3)</f>
        <v>LAD</v>
      </c>
      <c r="D634" s="0" t="str">
        <f aca="false">LEFT(A634,18)</f>
        <v>PX-LAD-4A-2801-060</v>
      </c>
      <c r="E634" s="0" t="str">
        <f aca="false">RIGHT(A634,1)</f>
        <v>A</v>
      </c>
      <c r="F634" s="0" t="s">
        <v>782</v>
      </c>
      <c r="G634" s="0" t="str">
        <f aca="false">MID(D634,8,1)</f>
        <v>4</v>
      </c>
      <c r="H634" s="0" t="n">
        <v>1</v>
      </c>
    </row>
    <row r="635" customFormat="false" ht="15" hidden="false" customHeight="false" outlineLevel="0" collapsed="false">
      <c r="A635" s="0" t="s">
        <v>880</v>
      </c>
      <c r="B635" s="0" t="n">
        <v>5</v>
      </c>
      <c r="C635" s="0" t="str">
        <f aca="false">MID(A635,4,3)</f>
        <v>LAD</v>
      </c>
      <c r="D635" s="0" t="str">
        <f aca="false">LEFT(A635,18)</f>
        <v>PX-LAD-4A-2801-060</v>
      </c>
      <c r="E635" s="0" t="str">
        <f aca="false">RIGHT(A635,1)</f>
        <v>B</v>
      </c>
      <c r="F635" s="0" t="s">
        <v>782</v>
      </c>
      <c r="G635" s="0" t="str">
        <f aca="false">MID(D635,8,1)</f>
        <v>4</v>
      </c>
      <c r="H635" s="0" t="n">
        <v>1</v>
      </c>
    </row>
    <row r="636" customFormat="false" ht="15" hidden="false" customHeight="false" outlineLevel="0" collapsed="false">
      <c r="A636" s="0" t="s">
        <v>881</v>
      </c>
      <c r="B636" s="0" t="n">
        <v>5</v>
      </c>
      <c r="C636" s="0" t="str">
        <f aca="false">MID(A636,4,3)</f>
        <v>LAD</v>
      </c>
      <c r="D636" s="0" t="str">
        <f aca="false">LEFT(A636,18)</f>
        <v>PX-LAD-4A-2801-060</v>
      </c>
      <c r="E636" s="0" t="str">
        <f aca="false">RIGHT(A636,1)</f>
        <v>C</v>
      </c>
      <c r="F636" s="0" t="s">
        <v>782</v>
      </c>
      <c r="G636" s="0" t="str">
        <f aca="false">MID(D636,8,1)</f>
        <v>4</v>
      </c>
      <c r="H636" s="0" t="n">
        <v>1</v>
      </c>
    </row>
    <row r="637" customFormat="false" ht="15" hidden="false" customHeight="false" outlineLevel="0" collapsed="false">
      <c r="A637" s="0" t="s">
        <v>882</v>
      </c>
      <c r="B637" s="0" t="n">
        <v>5</v>
      </c>
      <c r="C637" s="0" t="str">
        <f aca="false">MID(A637,4,3)</f>
        <v>LAD</v>
      </c>
      <c r="D637" s="0" t="str">
        <f aca="false">LEFT(A637,18)</f>
        <v>PX-LAD-4A-2801-060</v>
      </c>
      <c r="E637" s="0" t="str">
        <f aca="false">RIGHT(A637,1)</f>
        <v>D</v>
      </c>
      <c r="F637" s="0" t="s">
        <v>782</v>
      </c>
      <c r="G637" s="0" t="str">
        <f aca="false">MID(D637,8,1)</f>
        <v>4</v>
      </c>
      <c r="H637" s="0" t="n">
        <v>1</v>
      </c>
    </row>
    <row r="638" customFormat="false" ht="15" hidden="false" customHeight="false" outlineLevel="0" collapsed="false">
      <c r="A638" s="0" t="s">
        <v>883</v>
      </c>
      <c r="B638" s="0" t="n">
        <v>5</v>
      </c>
      <c r="C638" s="0" t="str">
        <f aca="false">MID(A638,4,3)</f>
        <v>LAD</v>
      </c>
      <c r="D638" s="0" t="str">
        <f aca="false">LEFT(A638,18)</f>
        <v>PX-LAD-4A-2801-060</v>
      </c>
      <c r="E638" s="0" t="str">
        <f aca="false">RIGHT(A638,1)</f>
        <v>E</v>
      </c>
      <c r="F638" s="0" t="s">
        <v>782</v>
      </c>
      <c r="G638" s="0" t="str">
        <f aca="false">MID(D638,8,1)</f>
        <v>4</v>
      </c>
      <c r="H638" s="0" t="n">
        <v>1</v>
      </c>
    </row>
    <row r="639" customFormat="false" ht="15" hidden="false" customHeight="false" outlineLevel="0" collapsed="false">
      <c r="A639" s="0" t="s">
        <v>884</v>
      </c>
      <c r="B639" s="0" t="n">
        <v>5</v>
      </c>
      <c r="C639" s="0" t="str">
        <f aca="false">MID(A639,4,3)</f>
        <v>LAD</v>
      </c>
      <c r="D639" s="0" t="str">
        <f aca="false">A639</f>
        <v>PX-LAD-4A-2801-080</v>
      </c>
      <c r="E639" s="0" t="str">
        <f aca="false">RIGHT(A639,3)</f>
        <v>080</v>
      </c>
      <c r="F639" s="0" t="s">
        <v>782</v>
      </c>
      <c r="G639" s="0" t="str">
        <f aca="false">MID(D639,8,1)</f>
        <v>4</v>
      </c>
      <c r="H639" s="0" t="n">
        <v>1</v>
      </c>
    </row>
    <row r="640" customFormat="false" ht="15" hidden="false" customHeight="false" outlineLevel="0" collapsed="false">
      <c r="A640" s="0" t="s">
        <v>885</v>
      </c>
      <c r="B640" s="0" t="n">
        <v>5</v>
      </c>
      <c r="C640" s="0" t="str">
        <f aca="false">MID(A640,4,3)</f>
        <v>LAD</v>
      </c>
      <c r="D640" s="0" t="str">
        <f aca="false">LEFT(A640,18)</f>
        <v>PX-LAD-4A-2801-080</v>
      </c>
      <c r="E640" s="0" t="str">
        <f aca="false">RIGHT(A640,1)</f>
        <v>A</v>
      </c>
      <c r="F640" s="0" t="s">
        <v>782</v>
      </c>
      <c r="G640" s="0" t="str">
        <f aca="false">MID(D640,8,1)</f>
        <v>4</v>
      </c>
      <c r="H640" s="0" t="n">
        <v>1</v>
      </c>
    </row>
    <row r="641" customFormat="false" ht="15" hidden="false" customHeight="false" outlineLevel="0" collapsed="false">
      <c r="A641" s="0" t="s">
        <v>886</v>
      </c>
      <c r="B641" s="0" t="n">
        <v>5</v>
      </c>
      <c r="C641" s="0" t="str">
        <f aca="false">MID(A641,4,3)</f>
        <v>LAD</v>
      </c>
      <c r="D641" s="0" t="str">
        <f aca="false">LEFT(A641,18)</f>
        <v>PX-LAD-4A-2801-080</v>
      </c>
      <c r="E641" s="0" t="str">
        <f aca="false">RIGHT(A641,1)</f>
        <v>B</v>
      </c>
      <c r="F641" s="0" t="s">
        <v>782</v>
      </c>
      <c r="G641" s="0" t="str">
        <f aca="false">MID(D641,8,1)</f>
        <v>4</v>
      </c>
      <c r="H641" s="0" t="n">
        <v>1</v>
      </c>
    </row>
    <row r="642" customFormat="false" ht="15" hidden="false" customHeight="false" outlineLevel="0" collapsed="false">
      <c r="A642" s="0" t="s">
        <v>887</v>
      </c>
      <c r="B642" s="0" t="n">
        <v>5</v>
      </c>
      <c r="C642" s="0" t="str">
        <f aca="false">MID(A642,4,3)</f>
        <v>LAD</v>
      </c>
      <c r="D642" s="0" t="str">
        <f aca="false">LEFT(A642,18)</f>
        <v>PX-LAD-4A-2801-080</v>
      </c>
      <c r="E642" s="0" t="str">
        <f aca="false">RIGHT(A642,1)</f>
        <v>C</v>
      </c>
      <c r="F642" s="0" t="s">
        <v>782</v>
      </c>
      <c r="G642" s="0" t="str">
        <f aca="false">MID(D642,8,1)</f>
        <v>4</v>
      </c>
      <c r="H642" s="0" t="n">
        <v>1</v>
      </c>
    </row>
    <row r="643" customFormat="false" ht="15" hidden="false" customHeight="false" outlineLevel="0" collapsed="false">
      <c r="A643" s="0" t="s">
        <v>888</v>
      </c>
      <c r="B643" s="0" t="n">
        <v>5</v>
      </c>
      <c r="C643" s="0" t="str">
        <f aca="false">MID(A643,4,3)</f>
        <v>LAD</v>
      </c>
      <c r="D643" s="0" t="str">
        <f aca="false">LEFT(A643,18)</f>
        <v>PX-LAD-4A-2801-080</v>
      </c>
      <c r="E643" s="0" t="str">
        <f aca="false">RIGHT(A643,1)</f>
        <v>D</v>
      </c>
      <c r="F643" s="0" t="s">
        <v>782</v>
      </c>
      <c r="G643" s="0" t="str">
        <f aca="false">MID(D643,8,1)</f>
        <v>4</v>
      </c>
      <c r="H643" s="0" t="n">
        <v>1</v>
      </c>
    </row>
    <row r="644" customFormat="false" ht="15" hidden="false" customHeight="false" outlineLevel="0" collapsed="false">
      <c r="A644" s="0" t="s">
        <v>889</v>
      </c>
      <c r="B644" s="0" t="n">
        <v>5</v>
      </c>
      <c r="C644" s="0" t="str">
        <f aca="false">MID(A644,4,3)</f>
        <v>LAD</v>
      </c>
      <c r="D644" s="0" t="str">
        <f aca="false">LEFT(A644,18)</f>
        <v>PX-LAD-4A-2801-080</v>
      </c>
      <c r="E644" s="0" t="str">
        <f aca="false">RIGHT(A644,1)</f>
        <v>E</v>
      </c>
      <c r="F644" s="0" t="s">
        <v>782</v>
      </c>
      <c r="G644" s="0" t="str">
        <f aca="false">MID(D644,8,1)</f>
        <v>4</v>
      </c>
      <c r="H644" s="0" t="n">
        <v>1</v>
      </c>
    </row>
    <row r="645" customFormat="false" ht="15" hidden="false" customHeight="false" outlineLevel="0" collapsed="false">
      <c r="A645" s="0" t="s">
        <v>890</v>
      </c>
      <c r="B645" s="0" t="n">
        <v>5</v>
      </c>
      <c r="C645" s="0" t="str">
        <f aca="false">MID(A645,4,3)</f>
        <v>LAD</v>
      </c>
      <c r="D645" s="0" t="str">
        <f aca="false">A645</f>
        <v>PX-LAD-4A-2801-100</v>
      </c>
      <c r="E645" s="0" t="str">
        <f aca="false">RIGHT(A645,3)</f>
        <v>100</v>
      </c>
      <c r="F645" s="0" t="s">
        <v>782</v>
      </c>
      <c r="G645" s="0" t="str">
        <f aca="false">MID(D645,8,1)</f>
        <v>4</v>
      </c>
      <c r="H645" s="0" t="n">
        <v>1</v>
      </c>
    </row>
    <row r="646" customFormat="false" ht="15" hidden="false" customHeight="false" outlineLevel="0" collapsed="false">
      <c r="A646" s="0" t="s">
        <v>891</v>
      </c>
      <c r="B646" s="0" t="n">
        <v>5</v>
      </c>
      <c r="C646" s="0" t="str">
        <f aca="false">MID(A646,4,3)</f>
        <v>LAD</v>
      </c>
      <c r="D646" s="0" t="str">
        <f aca="false">LEFT(A646,18)</f>
        <v>PX-LAD-4A-2801-100</v>
      </c>
      <c r="E646" s="0" t="str">
        <f aca="false">RIGHT(A646,1)</f>
        <v>A</v>
      </c>
      <c r="F646" s="0" t="s">
        <v>782</v>
      </c>
      <c r="G646" s="0" t="str">
        <f aca="false">MID(D646,8,1)</f>
        <v>4</v>
      </c>
      <c r="H646" s="0" t="n">
        <v>1</v>
      </c>
    </row>
    <row r="647" customFormat="false" ht="15" hidden="false" customHeight="false" outlineLevel="0" collapsed="false">
      <c r="A647" s="0" t="s">
        <v>892</v>
      </c>
      <c r="B647" s="0" t="n">
        <v>5</v>
      </c>
      <c r="C647" s="0" t="str">
        <f aca="false">MID(A647,4,3)</f>
        <v>LAD</v>
      </c>
      <c r="D647" s="0" t="str">
        <f aca="false">LEFT(A647,18)</f>
        <v>PX-LAD-4A-2801-100</v>
      </c>
      <c r="E647" s="0" t="str">
        <f aca="false">RIGHT(A647,1)</f>
        <v>B</v>
      </c>
      <c r="F647" s="0" t="s">
        <v>782</v>
      </c>
      <c r="G647" s="0" t="str">
        <f aca="false">MID(D647,8,1)</f>
        <v>4</v>
      </c>
      <c r="H647" s="0" t="n">
        <v>1</v>
      </c>
    </row>
    <row r="648" customFormat="false" ht="15" hidden="false" customHeight="false" outlineLevel="0" collapsed="false">
      <c r="A648" s="0" t="s">
        <v>893</v>
      </c>
      <c r="B648" s="0" t="n">
        <v>5</v>
      </c>
      <c r="C648" s="0" t="str">
        <f aca="false">MID(A648,4,3)</f>
        <v>LAD</v>
      </c>
      <c r="D648" s="0" t="str">
        <f aca="false">LEFT(A648,18)</f>
        <v>PX-LAD-4A-2801-100</v>
      </c>
      <c r="E648" s="0" t="str">
        <f aca="false">RIGHT(A648,1)</f>
        <v>C</v>
      </c>
      <c r="F648" s="0" t="s">
        <v>782</v>
      </c>
      <c r="G648" s="0" t="str">
        <f aca="false">MID(D648,8,1)</f>
        <v>4</v>
      </c>
      <c r="H648" s="0" t="n">
        <v>1</v>
      </c>
    </row>
    <row r="649" customFormat="false" ht="15" hidden="false" customHeight="false" outlineLevel="0" collapsed="false">
      <c r="A649" s="0" t="s">
        <v>894</v>
      </c>
      <c r="B649" s="0" t="n">
        <v>5</v>
      </c>
      <c r="C649" s="0" t="str">
        <f aca="false">MID(A649,4,3)</f>
        <v>LAD</v>
      </c>
      <c r="D649" s="0" t="str">
        <f aca="false">LEFT(A649,18)</f>
        <v>PX-LAD-4A-2801-100</v>
      </c>
      <c r="E649" s="0" t="str">
        <f aca="false">RIGHT(A649,1)</f>
        <v>D</v>
      </c>
      <c r="F649" s="0" t="s">
        <v>782</v>
      </c>
      <c r="G649" s="0" t="str">
        <f aca="false">MID(D649,8,1)</f>
        <v>4</v>
      </c>
      <c r="H649" s="0" t="n">
        <v>1</v>
      </c>
    </row>
    <row r="650" customFormat="false" ht="15" hidden="false" customHeight="false" outlineLevel="0" collapsed="false">
      <c r="A650" s="0" t="s">
        <v>895</v>
      </c>
      <c r="B650" s="0" t="n">
        <v>5</v>
      </c>
      <c r="C650" s="0" t="str">
        <f aca="false">MID(A650,4,3)</f>
        <v>LAD</v>
      </c>
      <c r="D650" s="0" t="str">
        <f aca="false">LEFT(A650,18)</f>
        <v>PX-LAD-4A-2801-100</v>
      </c>
      <c r="E650" s="0" t="str">
        <f aca="false">RIGHT(A650,1)</f>
        <v>E</v>
      </c>
      <c r="F650" s="0" t="s">
        <v>782</v>
      </c>
      <c r="G650" s="0" t="str">
        <f aca="false">MID(D650,8,1)</f>
        <v>4</v>
      </c>
      <c r="H650" s="0" t="n">
        <v>1</v>
      </c>
    </row>
    <row r="651" customFormat="false" ht="15" hidden="false" customHeight="false" outlineLevel="0" collapsed="false">
      <c r="A651" s="0" t="s">
        <v>896</v>
      </c>
      <c r="B651" s="0" t="n">
        <v>5</v>
      </c>
      <c r="C651" s="0" t="str">
        <f aca="false">MID(A651,4,3)</f>
        <v>LAD</v>
      </c>
      <c r="D651" s="0" t="str">
        <f aca="false">A651</f>
        <v>PX-LAD-4A-2802-000</v>
      </c>
      <c r="E651" s="0" t="str">
        <f aca="false">RIGHT(A651,3)</f>
        <v>000</v>
      </c>
      <c r="F651" s="0" t="s">
        <v>782</v>
      </c>
      <c r="G651" s="0" t="str">
        <f aca="false">MID(D651,8,1)</f>
        <v>4</v>
      </c>
      <c r="H651" s="0" t="n">
        <v>1</v>
      </c>
    </row>
    <row r="652" customFormat="false" ht="15" hidden="false" customHeight="false" outlineLevel="0" collapsed="false">
      <c r="A652" s="0" t="s">
        <v>897</v>
      </c>
      <c r="B652" s="0" t="n">
        <v>5</v>
      </c>
      <c r="C652" s="0" t="str">
        <f aca="false">MID(A652,4,3)</f>
        <v>LAD</v>
      </c>
      <c r="D652" s="0" t="str">
        <f aca="false">LEFT(A652,18)</f>
        <v>PX-LAD-4A-2802-000</v>
      </c>
      <c r="E652" s="0" t="str">
        <f aca="false">RIGHT(A652,1)</f>
        <v>A</v>
      </c>
      <c r="F652" s="0" t="s">
        <v>782</v>
      </c>
      <c r="G652" s="0" t="str">
        <f aca="false">MID(D652,8,1)</f>
        <v>4</v>
      </c>
      <c r="H652" s="0" t="n">
        <v>1</v>
      </c>
    </row>
    <row r="653" customFormat="false" ht="15" hidden="false" customHeight="false" outlineLevel="0" collapsed="false">
      <c r="A653" s="0" t="s">
        <v>898</v>
      </c>
      <c r="B653" s="0" t="n">
        <v>5</v>
      </c>
      <c r="C653" s="0" t="str">
        <f aca="false">MID(A653,4,3)</f>
        <v>LAD</v>
      </c>
      <c r="D653" s="0" t="str">
        <f aca="false">LEFT(A653,18)</f>
        <v>PX-LAD-4A-2802-000</v>
      </c>
      <c r="E653" s="0" t="str">
        <f aca="false">RIGHT(A653,1)</f>
        <v>B</v>
      </c>
      <c r="F653" s="0" t="s">
        <v>782</v>
      </c>
      <c r="G653" s="0" t="str">
        <f aca="false">MID(D653,8,1)</f>
        <v>4</v>
      </c>
      <c r="H653" s="0" t="n">
        <v>1</v>
      </c>
    </row>
    <row r="654" customFormat="false" ht="15" hidden="false" customHeight="false" outlineLevel="0" collapsed="false">
      <c r="A654" s="0" t="s">
        <v>899</v>
      </c>
      <c r="B654" s="0" t="n">
        <v>5</v>
      </c>
      <c r="C654" s="0" t="str">
        <f aca="false">MID(A654,4,3)</f>
        <v>LAD</v>
      </c>
      <c r="D654" s="0" t="str">
        <f aca="false">LEFT(A654,18)</f>
        <v>PX-LAD-4A-2802-000</v>
      </c>
      <c r="E654" s="0" t="str">
        <f aca="false">RIGHT(A654,1)</f>
        <v>C</v>
      </c>
      <c r="F654" s="0" t="s">
        <v>782</v>
      </c>
      <c r="G654" s="0" t="str">
        <f aca="false">MID(D654,8,1)</f>
        <v>4</v>
      </c>
      <c r="H654" s="0" t="n">
        <v>1</v>
      </c>
    </row>
    <row r="655" customFormat="false" ht="15" hidden="false" customHeight="false" outlineLevel="0" collapsed="false">
      <c r="A655" s="0" t="s">
        <v>900</v>
      </c>
      <c r="B655" s="0" t="n">
        <v>5</v>
      </c>
      <c r="C655" s="0" t="str">
        <f aca="false">MID(A655,4,3)</f>
        <v>LAD</v>
      </c>
      <c r="D655" s="0" t="str">
        <f aca="false">LEFT(A655,18)</f>
        <v>PX-LAD-4A-2802-000</v>
      </c>
      <c r="E655" s="0" t="str">
        <f aca="false">RIGHT(A655,1)</f>
        <v>D</v>
      </c>
      <c r="F655" s="0" t="s">
        <v>782</v>
      </c>
      <c r="G655" s="0" t="str">
        <f aca="false">MID(D655,8,1)</f>
        <v>4</v>
      </c>
      <c r="H655" s="0" t="n">
        <v>1</v>
      </c>
    </row>
    <row r="656" customFormat="false" ht="15" hidden="false" customHeight="false" outlineLevel="0" collapsed="false">
      <c r="A656" s="0" t="s">
        <v>901</v>
      </c>
      <c r="B656" s="0" t="n">
        <v>5</v>
      </c>
      <c r="C656" s="0" t="str">
        <f aca="false">MID(A656,4,3)</f>
        <v>LAD</v>
      </c>
      <c r="D656" s="0" t="str">
        <f aca="false">LEFT(A656,18)</f>
        <v>PX-LAD-4A-2802-000</v>
      </c>
      <c r="E656" s="0" t="str">
        <f aca="false">RIGHT(A656,1)</f>
        <v>E</v>
      </c>
      <c r="F656" s="0" t="s">
        <v>782</v>
      </c>
      <c r="G656" s="0" t="str">
        <f aca="false">MID(D656,8,1)</f>
        <v>4</v>
      </c>
      <c r="H656" s="0" t="n">
        <v>1</v>
      </c>
    </row>
    <row r="657" customFormat="false" ht="15" hidden="false" customHeight="false" outlineLevel="0" collapsed="false">
      <c r="A657" s="0" t="s">
        <v>902</v>
      </c>
      <c r="B657" s="0" t="n">
        <v>5</v>
      </c>
      <c r="C657" s="0" t="str">
        <f aca="false">MID(A657,4,3)</f>
        <v>LAD</v>
      </c>
      <c r="D657" s="0" t="str">
        <f aca="false">A657</f>
        <v>PX-LAD-4A-2802-020</v>
      </c>
      <c r="E657" s="0" t="str">
        <f aca="false">RIGHT(A657,3)</f>
        <v>020</v>
      </c>
      <c r="F657" s="0" t="s">
        <v>782</v>
      </c>
      <c r="G657" s="0" t="str">
        <f aca="false">MID(D657,8,1)</f>
        <v>4</v>
      </c>
      <c r="H657" s="0" t="n">
        <v>1</v>
      </c>
    </row>
    <row r="658" customFormat="false" ht="15" hidden="false" customHeight="false" outlineLevel="0" collapsed="false">
      <c r="A658" s="0" t="s">
        <v>903</v>
      </c>
      <c r="B658" s="0" t="n">
        <v>5</v>
      </c>
      <c r="C658" s="0" t="str">
        <f aca="false">MID(A658,4,3)</f>
        <v>LAD</v>
      </c>
      <c r="D658" s="0" t="str">
        <f aca="false">LEFT(A658,18)</f>
        <v>PX-LAD-4A-2802-020</v>
      </c>
      <c r="E658" s="0" t="str">
        <f aca="false">RIGHT(A658,1)</f>
        <v>A</v>
      </c>
      <c r="F658" s="0" t="s">
        <v>782</v>
      </c>
      <c r="G658" s="0" t="str">
        <f aca="false">MID(D658,8,1)</f>
        <v>4</v>
      </c>
      <c r="H658" s="0" t="n">
        <v>1</v>
      </c>
    </row>
    <row r="659" customFormat="false" ht="15" hidden="false" customHeight="false" outlineLevel="0" collapsed="false">
      <c r="A659" s="0" t="s">
        <v>904</v>
      </c>
      <c r="B659" s="0" t="n">
        <v>5</v>
      </c>
      <c r="C659" s="0" t="str">
        <f aca="false">MID(A659,4,3)</f>
        <v>LAD</v>
      </c>
      <c r="D659" s="0" t="str">
        <f aca="false">LEFT(A659,18)</f>
        <v>PX-LAD-4A-2802-020</v>
      </c>
      <c r="E659" s="0" t="str">
        <f aca="false">RIGHT(A659,1)</f>
        <v>B</v>
      </c>
      <c r="F659" s="0" t="s">
        <v>782</v>
      </c>
      <c r="G659" s="0" t="str">
        <f aca="false">MID(D659,8,1)</f>
        <v>4</v>
      </c>
      <c r="H659" s="0" t="n">
        <v>1</v>
      </c>
    </row>
    <row r="660" customFormat="false" ht="15" hidden="false" customHeight="false" outlineLevel="0" collapsed="false">
      <c r="A660" s="0" t="s">
        <v>905</v>
      </c>
      <c r="B660" s="0" t="n">
        <v>5</v>
      </c>
      <c r="C660" s="0" t="str">
        <f aca="false">MID(A660,4,3)</f>
        <v>LAD</v>
      </c>
      <c r="D660" s="0" t="str">
        <f aca="false">LEFT(A660,18)</f>
        <v>PX-LAD-4A-2802-020</v>
      </c>
      <c r="E660" s="0" t="str">
        <f aca="false">RIGHT(A660,1)</f>
        <v>C</v>
      </c>
      <c r="F660" s="0" t="s">
        <v>782</v>
      </c>
      <c r="G660" s="0" t="str">
        <f aca="false">MID(D660,8,1)</f>
        <v>4</v>
      </c>
      <c r="H660" s="0" t="n">
        <v>1</v>
      </c>
    </row>
    <row r="661" customFormat="false" ht="15" hidden="false" customHeight="false" outlineLevel="0" collapsed="false">
      <c r="A661" s="0" t="s">
        <v>906</v>
      </c>
      <c r="B661" s="0" t="n">
        <v>5</v>
      </c>
      <c r="C661" s="0" t="str">
        <f aca="false">MID(A661,4,3)</f>
        <v>LAD</v>
      </c>
      <c r="D661" s="0" t="str">
        <f aca="false">LEFT(A661,18)</f>
        <v>PX-LAD-4A-2802-020</v>
      </c>
      <c r="E661" s="0" t="str">
        <f aca="false">RIGHT(A661,1)</f>
        <v>D</v>
      </c>
      <c r="F661" s="0" t="s">
        <v>782</v>
      </c>
      <c r="G661" s="0" t="str">
        <f aca="false">MID(D661,8,1)</f>
        <v>4</v>
      </c>
      <c r="H661" s="0" t="n">
        <v>1</v>
      </c>
    </row>
    <row r="662" customFormat="false" ht="15" hidden="false" customHeight="false" outlineLevel="0" collapsed="false">
      <c r="A662" s="0" t="s">
        <v>907</v>
      </c>
      <c r="B662" s="0" t="n">
        <v>5</v>
      </c>
      <c r="C662" s="0" t="str">
        <f aca="false">MID(A662,4,3)</f>
        <v>LAD</v>
      </c>
      <c r="D662" s="0" t="str">
        <f aca="false">LEFT(A662,18)</f>
        <v>PX-LAD-4A-2802-020</v>
      </c>
      <c r="E662" s="0" t="str">
        <f aca="false">RIGHT(A662,1)</f>
        <v>E</v>
      </c>
      <c r="F662" s="0" t="s">
        <v>782</v>
      </c>
      <c r="G662" s="0" t="str">
        <f aca="false">MID(D662,8,1)</f>
        <v>4</v>
      </c>
      <c r="H662" s="0" t="n">
        <v>1</v>
      </c>
    </row>
    <row r="663" customFormat="false" ht="15" hidden="false" customHeight="false" outlineLevel="0" collapsed="false">
      <c r="A663" s="0" t="s">
        <v>908</v>
      </c>
      <c r="B663" s="0" t="n">
        <v>5</v>
      </c>
      <c r="C663" s="0" t="str">
        <f aca="false">MID(A663,4,3)</f>
        <v>LAD</v>
      </c>
      <c r="D663" s="0" t="str">
        <f aca="false">A663</f>
        <v>PX-LAD-4A-2802-040</v>
      </c>
      <c r="E663" s="0" t="str">
        <f aca="false">RIGHT(A663,3)</f>
        <v>040</v>
      </c>
      <c r="F663" s="0" t="s">
        <v>782</v>
      </c>
      <c r="G663" s="0" t="str">
        <f aca="false">MID(D663,8,1)</f>
        <v>4</v>
      </c>
      <c r="H663" s="0" t="n">
        <v>1</v>
      </c>
    </row>
    <row r="664" customFormat="false" ht="15" hidden="false" customHeight="false" outlineLevel="0" collapsed="false">
      <c r="A664" s="0" t="s">
        <v>909</v>
      </c>
      <c r="B664" s="0" t="n">
        <v>5</v>
      </c>
      <c r="C664" s="0" t="str">
        <f aca="false">MID(A664,4,3)</f>
        <v>LAD</v>
      </c>
      <c r="D664" s="0" t="str">
        <f aca="false">LEFT(A664,18)</f>
        <v>PX-LAD-4A-2802-040</v>
      </c>
      <c r="E664" s="0" t="str">
        <f aca="false">RIGHT(A664,1)</f>
        <v>A</v>
      </c>
      <c r="F664" s="0" t="s">
        <v>782</v>
      </c>
      <c r="G664" s="0" t="str">
        <f aca="false">MID(D664,8,1)</f>
        <v>4</v>
      </c>
      <c r="H664" s="0" t="n">
        <v>1</v>
      </c>
    </row>
    <row r="665" customFormat="false" ht="15" hidden="false" customHeight="false" outlineLevel="0" collapsed="false">
      <c r="A665" s="0" t="s">
        <v>910</v>
      </c>
      <c r="B665" s="0" t="n">
        <v>5</v>
      </c>
      <c r="C665" s="0" t="str">
        <f aca="false">MID(A665,4,3)</f>
        <v>LAD</v>
      </c>
      <c r="D665" s="0" t="str">
        <f aca="false">LEFT(A665,18)</f>
        <v>PX-LAD-4A-2802-040</v>
      </c>
      <c r="E665" s="0" t="str">
        <f aca="false">RIGHT(A665,1)</f>
        <v>B</v>
      </c>
      <c r="F665" s="0" t="s">
        <v>782</v>
      </c>
      <c r="G665" s="0" t="str">
        <f aca="false">MID(D665,8,1)</f>
        <v>4</v>
      </c>
      <c r="H665" s="0" t="n">
        <v>1</v>
      </c>
    </row>
    <row r="666" customFormat="false" ht="15" hidden="false" customHeight="false" outlineLevel="0" collapsed="false">
      <c r="A666" s="0" t="s">
        <v>911</v>
      </c>
      <c r="B666" s="0" t="n">
        <v>5</v>
      </c>
      <c r="C666" s="0" t="str">
        <f aca="false">MID(A666,4,3)</f>
        <v>LAD</v>
      </c>
      <c r="D666" s="0" t="str">
        <f aca="false">LEFT(A666,18)</f>
        <v>PX-LAD-4A-2802-040</v>
      </c>
      <c r="E666" s="0" t="str">
        <f aca="false">RIGHT(A666,1)</f>
        <v>C</v>
      </c>
      <c r="F666" s="0" t="s">
        <v>782</v>
      </c>
      <c r="G666" s="0" t="str">
        <f aca="false">MID(D666,8,1)</f>
        <v>4</v>
      </c>
      <c r="H666" s="0" t="n">
        <v>1</v>
      </c>
    </row>
    <row r="667" customFormat="false" ht="15" hidden="false" customHeight="false" outlineLevel="0" collapsed="false">
      <c r="A667" s="0" t="s">
        <v>912</v>
      </c>
      <c r="B667" s="0" t="n">
        <v>5</v>
      </c>
      <c r="C667" s="0" t="str">
        <f aca="false">MID(A667,4,3)</f>
        <v>LAD</v>
      </c>
      <c r="D667" s="0" t="str">
        <f aca="false">LEFT(A667,18)</f>
        <v>PX-LAD-4A-2802-040</v>
      </c>
      <c r="E667" s="0" t="str">
        <f aca="false">RIGHT(A667,1)</f>
        <v>D</v>
      </c>
      <c r="F667" s="0" t="s">
        <v>782</v>
      </c>
      <c r="G667" s="0" t="str">
        <f aca="false">MID(D667,8,1)</f>
        <v>4</v>
      </c>
      <c r="H667" s="0" t="n">
        <v>1</v>
      </c>
    </row>
    <row r="668" customFormat="false" ht="15" hidden="false" customHeight="false" outlineLevel="0" collapsed="false">
      <c r="A668" s="0" t="s">
        <v>913</v>
      </c>
      <c r="B668" s="0" t="n">
        <v>5</v>
      </c>
      <c r="C668" s="0" t="str">
        <f aca="false">MID(A668,4,3)</f>
        <v>LAD</v>
      </c>
      <c r="D668" s="0" t="str">
        <f aca="false">LEFT(A668,18)</f>
        <v>PX-LAD-4A-2802-040</v>
      </c>
      <c r="E668" s="0" t="str">
        <f aca="false">RIGHT(A668,1)</f>
        <v>E</v>
      </c>
      <c r="F668" s="0" t="s">
        <v>782</v>
      </c>
      <c r="G668" s="0" t="str">
        <f aca="false">MID(D668,8,1)</f>
        <v>4</v>
      </c>
      <c r="H668" s="0" t="n">
        <v>1</v>
      </c>
    </row>
    <row r="669" customFormat="false" ht="15" hidden="false" customHeight="false" outlineLevel="0" collapsed="false">
      <c r="A669" s="0" t="s">
        <v>914</v>
      </c>
      <c r="B669" s="0" t="n">
        <v>5</v>
      </c>
      <c r="C669" s="0" t="str">
        <f aca="false">MID(A669,4,3)</f>
        <v>LAD</v>
      </c>
      <c r="D669" s="0" t="str">
        <f aca="false">A669</f>
        <v>PX-LAD-4A-2802-060</v>
      </c>
      <c r="E669" s="0" t="str">
        <f aca="false">RIGHT(A669,3)</f>
        <v>060</v>
      </c>
      <c r="F669" s="0" t="s">
        <v>782</v>
      </c>
      <c r="G669" s="0" t="str">
        <f aca="false">MID(D669,8,1)</f>
        <v>4</v>
      </c>
      <c r="H669" s="0" t="n">
        <v>1</v>
      </c>
    </row>
    <row r="670" customFormat="false" ht="15" hidden="false" customHeight="false" outlineLevel="0" collapsed="false">
      <c r="A670" s="0" t="s">
        <v>915</v>
      </c>
      <c r="B670" s="0" t="n">
        <v>5</v>
      </c>
      <c r="C670" s="0" t="str">
        <f aca="false">MID(A670,4,3)</f>
        <v>LAD</v>
      </c>
      <c r="D670" s="0" t="str">
        <f aca="false">LEFT(A670,18)</f>
        <v>PX-LAD-4A-2802-060</v>
      </c>
      <c r="E670" s="0" t="str">
        <f aca="false">RIGHT(A670,1)</f>
        <v>A</v>
      </c>
      <c r="F670" s="0" t="s">
        <v>782</v>
      </c>
      <c r="G670" s="0" t="str">
        <f aca="false">MID(D670,8,1)</f>
        <v>4</v>
      </c>
      <c r="H670" s="0" t="n">
        <v>1</v>
      </c>
    </row>
    <row r="671" customFormat="false" ht="15" hidden="false" customHeight="false" outlineLevel="0" collapsed="false">
      <c r="A671" s="0" t="s">
        <v>916</v>
      </c>
      <c r="B671" s="0" t="n">
        <v>5</v>
      </c>
      <c r="C671" s="0" t="str">
        <f aca="false">MID(A671,4,3)</f>
        <v>LAD</v>
      </c>
      <c r="D671" s="0" t="str">
        <f aca="false">LEFT(A671,18)</f>
        <v>PX-LAD-4A-2802-060</v>
      </c>
      <c r="E671" s="0" t="str">
        <f aca="false">RIGHT(A671,1)</f>
        <v>B</v>
      </c>
      <c r="F671" s="0" t="s">
        <v>782</v>
      </c>
      <c r="G671" s="0" t="str">
        <f aca="false">MID(D671,8,1)</f>
        <v>4</v>
      </c>
      <c r="H671" s="0" t="n">
        <v>1</v>
      </c>
    </row>
    <row r="672" customFormat="false" ht="15" hidden="false" customHeight="false" outlineLevel="0" collapsed="false">
      <c r="A672" s="0" t="s">
        <v>917</v>
      </c>
      <c r="B672" s="0" t="n">
        <v>5</v>
      </c>
      <c r="C672" s="0" t="str">
        <f aca="false">MID(A672,4,3)</f>
        <v>LAD</v>
      </c>
      <c r="D672" s="0" t="str">
        <f aca="false">LEFT(A672,18)</f>
        <v>PX-LAD-4A-2802-060</v>
      </c>
      <c r="E672" s="0" t="str">
        <f aca="false">RIGHT(A672,1)</f>
        <v>C</v>
      </c>
      <c r="F672" s="0" t="s">
        <v>782</v>
      </c>
      <c r="G672" s="0" t="str">
        <f aca="false">MID(D672,8,1)</f>
        <v>4</v>
      </c>
      <c r="H672" s="0" t="n">
        <v>1</v>
      </c>
    </row>
    <row r="673" customFormat="false" ht="15" hidden="false" customHeight="false" outlineLevel="0" collapsed="false">
      <c r="A673" s="0" t="s">
        <v>918</v>
      </c>
      <c r="B673" s="0" t="n">
        <v>5</v>
      </c>
      <c r="C673" s="0" t="str">
        <f aca="false">MID(A673,4,3)</f>
        <v>LAD</v>
      </c>
      <c r="D673" s="0" t="str">
        <f aca="false">LEFT(A673,18)</f>
        <v>PX-LAD-4A-2802-060</v>
      </c>
      <c r="E673" s="0" t="str">
        <f aca="false">RIGHT(A673,1)</f>
        <v>D</v>
      </c>
      <c r="F673" s="0" t="s">
        <v>782</v>
      </c>
      <c r="G673" s="0" t="str">
        <f aca="false">MID(D673,8,1)</f>
        <v>4</v>
      </c>
      <c r="H673" s="0" t="n">
        <v>1</v>
      </c>
    </row>
    <row r="674" customFormat="false" ht="15" hidden="false" customHeight="false" outlineLevel="0" collapsed="false">
      <c r="A674" s="0" t="s">
        <v>919</v>
      </c>
      <c r="B674" s="0" t="n">
        <v>5</v>
      </c>
      <c r="C674" s="0" t="str">
        <f aca="false">MID(A674,4,3)</f>
        <v>LAD</v>
      </c>
      <c r="D674" s="0" t="str">
        <f aca="false">LEFT(A674,18)</f>
        <v>PX-LAD-4A-2802-060</v>
      </c>
      <c r="E674" s="0" t="str">
        <f aca="false">RIGHT(A674,1)</f>
        <v>E</v>
      </c>
      <c r="F674" s="0" t="s">
        <v>782</v>
      </c>
      <c r="G674" s="0" t="str">
        <f aca="false">MID(D674,8,1)</f>
        <v>4</v>
      </c>
      <c r="H674" s="0" t="n">
        <v>1</v>
      </c>
    </row>
    <row r="675" customFormat="false" ht="15" hidden="false" customHeight="false" outlineLevel="0" collapsed="false">
      <c r="A675" s="0" t="s">
        <v>920</v>
      </c>
      <c r="B675" s="0" t="n">
        <v>5</v>
      </c>
      <c r="C675" s="0" t="str">
        <f aca="false">MID(A675,4,3)</f>
        <v>LAD</v>
      </c>
      <c r="D675" s="0" t="str">
        <f aca="false">A675</f>
        <v>PX-LAD-4A-2802-080</v>
      </c>
      <c r="E675" s="0" t="str">
        <f aca="false">RIGHT(A675,3)</f>
        <v>080</v>
      </c>
      <c r="F675" s="0" t="s">
        <v>782</v>
      </c>
      <c r="G675" s="0" t="str">
        <f aca="false">MID(D675,8,1)</f>
        <v>4</v>
      </c>
      <c r="H675" s="0" t="n">
        <v>1</v>
      </c>
    </row>
    <row r="676" customFormat="false" ht="15" hidden="false" customHeight="false" outlineLevel="0" collapsed="false">
      <c r="A676" s="0" t="s">
        <v>921</v>
      </c>
      <c r="B676" s="0" t="n">
        <v>5</v>
      </c>
      <c r="C676" s="0" t="str">
        <f aca="false">MID(A676,4,3)</f>
        <v>LAD</v>
      </c>
      <c r="D676" s="0" t="str">
        <f aca="false">LEFT(A676,18)</f>
        <v>PX-LAD-4A-2802-080</v>
      </c>
      <c r="E676" s="0" t="str">
        <f aca="false">RIGHT(A676,1)</f>
        <v>A</v>
      </c>
      <c r="F676" s="0" t="s">
        <v>782</v>
      </c>
      <c r="G676" s="0" t="str">
        <f aca="false">MID(D676,8,1)</f>
        <v>4</v>
      </c>
      <c r="H676" s="0" t="n">
        <v>1</v>
      </c>
    </row>
    <row r="677" customFormat="false" ht="15" hidden="false" customHeight="false" outlineLevel="0" collapsed="false">
      <c r="A677" s="0" t="s">
        <v>922</v>
      </c>
      <c r="B677" s="0" t="n">
        <v>5</v>
      </c>
      <c r="C677" s="0" t="str">
        <f aca="false">MID(A677,4,3)</f>
        <v>LAD</v>
      </c>
      <c r="D677" s="0" t="str">
        <f aca="false">LEFT(A677,18)</f>
        <v>PX-LAD-4A-2802-080</v>
      </c>
      <c r="E677" s="0" t="str">
        <f aca="false">RIGHT(A677,1)</f>
        <v>B</v>
      </c>
      <c r="F677" s="0" t="s">
        <v>782</v>
      </c>
      <c r="G677" s="0" t="str">
        <f aca="false">MID(D677,8,1)</f>
        <v>4</v>
      </c>
      <c r="H677" s="0" t="n">
        <v>1</v>
      </c>
    </row>
    <row r="678" customFormat="false" ht="15" hidden="false" customHeight="false" outlineLevel="0" collapsed="false">
      <c r="A678" s="0" t="s">
        <v>923</v>
      </c>
      <c r="B678" s="0" t="n">
        <v>5</v>
      </c>
      <c r="C678" s="0" t="str">
        <f aca="false">MID(A678,4,3)</f>
        <v>LAD</v>
      </c>
      <c r="D678" s="0" t="str">
        <f aca="false">LEFT(A678,18)</f>
        <v>PX-LAD-4A-2802-080</v>
      </c>
      <c r="E678" s="0" t="str">
        <f aca="false">RIGHT(A678,1)</f>
        <v>C</v>
      </c>
      <c r="F678" s="0" t="s">
        <v>782</v>
      </c>
      <c r="G678" s="0" t="str">
        <f aca="false">MID(D678,8,1)</f>
        <v>4</v>
      </c>
      <c r="H678" s="0" t="n">
        <v>1</v>
      </c>
    </row>
    <row r="679" customFormat="false" ht="15" hidden="false" customHeight="false" outlineLevel="0" collapsed="false">
      <c r="A679" s="0" t="s">
        <v>924</v>
      </c>
      <c r="B679" s="0" t="n">
        <v>5</v>
      </c>
      <c r="C679" s="0" t="str">
        <f aca="false">MID(A679,4,3)</f>
        <v>LAD</v>
      </c>
      <c r="D679" s="0" t="str">
        <f aca="false">LEFT(A679,18)</f>
        <v>PX-LAD-4A-2802-080</v>
      </c>
      <c r="E679" s="0" t="str">
        <f aca="false">RIGHT(A679,1)</f>
        <v>D</v>
      </c>
      <c r="F679" s="0" t="s">
        <v>782</v>
      </c>
      <c r="G679" s="0" t="str">
        <f aca="false">MID(D679,8,1)</f>
        <v>4</v>
      </c>
      <c r="H679" s="0" t="n">
        <v>1</v>
      </c>
    </row>
    <row r="680" customFormat="false" ht="15" hidden="false" customHeight="false" outlineLevel="0" collapsed="false">
      <c r="A680" s="0" t="s">
        <v>925</v>
      </c>
      <c r="B680" s="0" t="n">
        <v>5</v>
      </c>
      <c r="C680" s="0" t="str">
        <f aca="false">MID(A680,4,3)</f>
        <v>LAD</v>
      </c>
      <c r="D680" s="0" t="str">
        <f aca="false">LEFT(A680,18)</f>
        <v>PX-LAD-4A-2802-080</v>
      </c>
      <c r="E680" s="0" t="str">
        <f aca="false">RIGHT(A680,1)</f>
        <v>E</v>
      </c>
      <c r="F680" s="0" t="s">
        <v>782</v>
      </c>
      <c r="G680" s="0" t="str">
        <f aca="false">MID(D680,8,1)</f>
        <v>4</v>
      </c>
      <c r="H680" s="0" t="n">
        <v>1</v>
      </c>
    </row>
    <row r="681" customFormat="false" ht="15" hidden="false" customHeight="false" outlineLevel="0" collapsed="false">
      <c r="A681" s="0" t="s">
        <v>926</v>
      </c>
      <c r="B681" s="0" t="n">
        <v>5</v>
      </c>
      <c r="C681" s="0" t="str">
        <f aca="false">MID(A681,4,3)</f>
        <v>LAD</v>
      </c>
      <c r="D681" s="0" t="str">
        <f aca="false">A681</f>
        <v>PX-LAD-4A-2802-100</v>
      </c>
      <c r="E681" s="0" t="str">
        <f aca="false">RIGHT(A681,3)</f>
        <v>100</v>
      </c>
      <c r="F681" s="0" t="s">
        <v>782</v>
      </c>
      <c r="G681" s="0" t="str">
        <f aca="false">MID(D681,8,1)</f>
        <v>4</v>
      </c>
      <c r="H681" s="0" t="n">
        <v>1</v>
      </c>
    </row>
    <row r="682" customFormat="false" ht="15" hidden="false" customHeight="false" outlineLevel="0" collapsed="false">
      <c r="A682" s="0" t="s">
        <v>927</v>
      </c>
      <c r="B682" s="0" t="n">
        <v>5</v>
      </c>
      <c r="C682" s="0" t="str">
        <f aca="false">MID(A682,4,3)</f>
        <v>LAD</v>
      </c>
      <c r="D682" s="0" t="str">
        <f aca="false">LEFT(A682,18)</f>
        <v>PX-LAD-4A-2802-100</v>
      </c>
      <c r="E682" s="0" t="str">
        <f aca="false">RIGHT(A682,1)</f>
        <v>A</v>
      </c>
      <c r="F682" s="0" t="s">
        <v>782</v>
      </c>
      <c r="G682" s="0" t="str">
        <f aca="false">MID(D682,8,1)</f>
        <v>4</v>
      </c>
      <c r="H682" s="0" t="n">
        <v>1</v>
      </c>
    </row>
    <row r="683" customFormat="false" ht="15" hidden="false" customHeight="false" outlineLevel="0" collapsed="false">
      <c r="A683" s="0" t="s">
        <v>928</v>
      </c>
      <c r="B683" s="0" t="n">
        <v>5</v>
      </c>
      <c r="C683" s="0" t="str">
        <f aca="false">MID(A683,4,3)</f>
        <v>LAD</v>
      </c>
      <c r="D683" s="0" t="str">
        <f aca="false">LEFT(A683,18)</f>
        <v>PX-LAD-4A-2802-100</v>
      </c>
      <c r="E683" s="0" t="str">
        <f aca="false">RIGHT(A683,1)</f>
        <v>B</v>
      </c>
      <c r="F683" s="0" t="s">
        <v>782</v>
      </c>
      <c r="G683" s="0" t="str">
        <f aca="false">MID(D683,8,1)</f>
        <v>4</v>
      </c>
      <c r="H683" s="0" t="n">
        <v>1</v>
      </c>
    </row>
    <row r="684" customFormat="false" ht="15" hidden="false" customHeight="false" outlineLevel="0" collapsed="false">
      <c r="A684" s="0" t="s">
        <v>929</v>
      </c>
      <c r="B684" s="0" t="n">
        <v>5</v>
      </c>
      <c r="C684" s="0" t="str">
        <f aca="false">MID(A684,4,3)</f>
        <v>LAD</v>
      </c>
      <c r="D684" s="0" t="str">
        <f aca="false">LEFT(A684,18)</f>
        <v>PX-LAD-4A-2802-100</v>
      </c>
      <c r="E684" s="0" t="str">
        <f aca="false">RIGHT(A684,1)</f>
        <v>C</v>
      </c>
      <c r="F684" s="0" t="s">
        <v>782</v>
      </c>
      <c r="G684" s="0" t="str">
        <f aca="false">MID(D684,8,1)</f>
        <v>4</v>
      </c>
      <c r="H684" s="0" t="n">
        <v>1</v>
      </c>
    </row>
    <row r="685" customFormat="false" ht="15" hidden="false" customHeight="false" outlineLevel="0" collapsed="false">
      <c r="A685" s="0" t="s">
        <v>930</v>
      </c>
      <c r="B685" s="0" t="n">
        <v>5</v>
      </c>
      <c r="C685" s="0" t="str">
        <f aca="false">MID(A685,4,3)</f>
        <v>LAD</v>
      </c>
      <c r="D685" s="0" t="str">
        <f aca="false">LEFT(A685,18)</f>
        <v>PX-LAD-4A-2802-100</v>
      </c>
      <c r="E685" s="0" t="str">
        <f aca="false">RIGHT(A685,1)</f>
        <v>D</v>
      </c>
      <c r="F685" s="0" t="s">
        <v>782</v>
      </c>
      <c r="G685" s="0" t="str">
        <f aca="false">MID(D685,8,1)</f>
        <v>4</v>
      </c>
      <c r="H685" s="0" t="n">
        <v>1</v>
      </c>
    </row>
    <row r="686" customFormat="false" ht="15" hidden="false" customHeight="false" outlineLevel="0" collapsed="false">
      <c r="A686" s="0" t="s">
        <v>931</v>
      </c>
      <c r="B686" s="0" t="n">
        <v>5</v>
      </c>
      <c r="C686" s="0" t="str">
        <f aca="false">MID(A686,4,3)</f>
        <v>LAD</v>
      </c>
      <c r="D686" s="0" t="str">
        <f aca="false">LEFT(A686,18)</f>
        <v>PX-LAD-4A-2802-100</v>
      </c>
      <c r="E686" s="0" t="str">
        <f aca="false">RIGHT(A686,1)</f>
        <v>E</v>
      </c>
      <c r="F686" s="0" t="s">
        <v>782</v>
      </c>
      <c r="G686" s="0" t="str">
        <f aca="false">MID(D686,8,1)</f>
        <v>4</v>
      </c>
      <c r="H686" s="0" t="n">
        <v>1</v>
      </c>
    </row>
    <row r="687" customFormat="false" ht="15" hidden="false" customHeight="false" outlineLevel="0" collapsed="false">
      <c r="A687" s="0" t="s">
        <v>932</v>
      </c>
      <c r="B687" s="0" t="n">
        <v>5</v>
      </c>
      <c r="C687" s="0" t="str">
        <f aca="false">MID(A687,4,3)</f>
        <v>LAD</v>
      </c>
      <c r="D687" s="0" t="str">
        <f aca="false">A687</f>
        <v>PX-LAD-4A-2803-000</v>
      </c>
      <c r="E687" s="0" t="str">
        <f aca="false">RIGHT(A687,3)</f>
        <v>000</v>
      </c>
      <c r="F687" s="0" t="s">
        <v>782</v>
      </c>
      <c r="G687" s="0" t="str">
        <f aca="false">MID(D687,8,1)</f>
        <v>4</v>
      </c>
      <c r="H687" s="0" t="n">
        <v>1</v>
      </c>
    </row>
    <row r="688" customFormat="false" ht="15" hidden="false" customHeight="false" outlineLevel="0" collapsed="false">
      <c r="A688" s="0" t="s">
        <v>933</v>
      </c>
      <c r="B688" s="0" t="n">
        <v>5</v>
      </c>
      <c r="C688" s="0" t="str">
        <f aca="false">MID(A688,4,3)</f>
        <v>LAD</v>
      </c>
      <c r="D688" s="0" t="str">
        <f aca="false">LEFT(A688,18)</f>
        <v>PX-LAD-4A-2803-000</v>
      </c>
      <c r="E688" s="0" t="str">
        <f aca="false">RIGHT(A688,1)</f>
        <v>A</v>
      </c>
      <c r="F688" s="0" t="s">
        <v>782</v>
      </c>
      <c r="G688" s="0" t="str">
        <f aca="false">MID(D688,8,1)</f>
        <v>4</v>
      </c>
      <c r="H688" s="0" t="n">
        <v>1</v>
      </c>
    </row>
    <row r="689" customFormat="false" ht="15" hidden="false" customHeight="false" outlineLevel="0" collapsed="false">
      <c r="A689" s="0" t="s">
        <v>934</v>
      </c>
      <c r="B689" s="0" t="n">
        <v>5</v>
      </c>
      <c r="C689" s="0" t="str">
        <f aca="false">MID(A689,4,3)</f>
        <v>LAD</v>
      </c>
      <c r="D689" s="0" t="str">
        <f aca="false">LEFT(A689,18)</f>
        <v>PX-LAD-4A-2803-000</v>
      </c>
      <c r="E689" s="0" t="str">
        <f aca="false">RIGHT(A689,1)</f>
        <v>B</v>
      </c>
      <c r="F689" s="0" t="s">
        <v>782</v>
      </c>
      <c r="G689" s="0" t="str">
        <f aca="false">MID(D689,8,1)</f>
        <v>4</v>
      </c>
      <c r="H689" s="0" t="n">
        <v>1</v>
      </c>
    </row>
    <row r="690" customFormat="false" ht="15" hidden="false" customHeight="false" outlineLevel="0" collapsed="false">
      <c r="A690" s="0" t="s">
        <v>935</v>
      </c>
      <c r="B690" s="0" t="n">
        <v>5</v>
      </c>
      <c r="C690" s="0" t="str">
        <f aca="false">MID(A690,4,3)</f>
        <v>LAD</v>
      </c>
      <c r="D690" s="0" t="str">
        <f aca="false">LEFT(A690,18)</f>
        <v>PX-LAD-4A-2803-000</v>
      </c>
      <c r="E690" s="0" t="str">
        <f aca="false">RIGHT(A690,1)</f>
        <v>C</v>
      </c>
      <c r="F690" s="0" t="s">
        <v>782</v>
      </c>
      <c r="G690" s="0" t="str">
        <f aca="false">MID(D690,8,1)</f>
        <v>4</v>
      </c>
      <c r="H690" s="0" t="n">
        <v>1</v>
      </c>
    </row>
    <row r="691" customFormat="false" ht="15" hidden="false" customHeight="false" outlineLevel="0" collapsed="false">
      <c r="A691" s="0" t="s">
        <v>936</v>
      </c>
      <c r="B691" s="0" t="n">
        <v>5</v>
      </c>
      <c r="C691" s="0" t="str">
        <f aca="false">MID(A691,4,3)</f>
        <v>LAD</v>
      </c>
      <c r="D691" s="0" t="str">
        <f aca="false">LEFT(A691,18)</f>
        <v>PX-LAD-4A-2803-000</v>
      </c>
      <c r="E691" s="0" t="str">
        <f aca="false">RIGHT(A691,1)</f>
        <v>D</v>
      </c>
      <c r="F691" s="0" t="s">
        <v>782</v>
      </c>
      <c r="G691" s="0" t="str">
        <f aca="false">MID(D691,8,1)</f>
        <v>4</v>
      </c>
      <c r="H691" s="0" t="n">
        <v>1</v>
      </c>
    </row>
    <row r="692" customFormat="false" ht="15" hidden="false" customHeight="false" outlineLevel="0" collapsed="false">
      <c r="A692" s="0" t="s">
        <v>937</v>
      </c>
      <c r="B692" s="0" t="n">
        <v>5</v>
      </c>
      <c r="C692" s="0" t="str">
        <f aca="false">MID(A692,4,3)</f>
        <v>LAD</v>
      </c>
      <c r="D692" s="0" t="str">
        <f aca="false">LEFT(A692,18)</f>
        <v>PX-LAD-4A-2803-000</v>
      </c>
      <c r="E692" s="0" t="str">
        <f aca="false">RIGHT(A692,1)</f>
        <v>E</v>
      </c>
      <c r="F692" s="0" t="s">
        <v>782</v>
      </c>
      <c r="G692" s="0" t="str">
        <f aca="false">MID(D692,8,1)</f>
        <v>4</v>
      </c>
      <c r="H692" s="0" t="n">
        <v>1</v>
      </c>
    </row>
    <row r="693" customFormat="false" ht="15" hidden="false" customHeight="false" outlineLevel="0" collapsed="false">
      <c r="A693" s="0" t="s">
        <v>938</v>
      </c>
      <c r="B693" s="0" t="n">
        <v>5</v>
      </c>
      <c r="C693" s="0" t="str">
        <f aca="false">MID(A693,4,3)</f>
        <v>LAD</v>
      </c>
      <c r="D693" s="0" t="str">
        <f aca="false">LEFT(A693,20)</f>
        <v>PX-LAD-4A-2803-000-2</v>
      </c>
      <c r="E693" s="0" t="str">
        <f aca="false">RIGHT(A693,1)</f>
        <v>A</v>
      </c>
      <c r="F693" s="0" t="s">
        <v>782</v>
      </c>
      <c r="G693" s="0" t="str">
        <f aca="false">MID(D693,8,1)</f>
        <v>4</v>
      </c>
      <c r="H693" s="0" t="n">
        <v>1</v>
      </c>
    </row>
    <row r="694" customFormat="false" ht="15" hidden="false" customHeight="false" outlineLevel="0" collapsed="false">
      <c r="A694" s="0" t="s">
        <v>939</v>
      </c>
      <c r="B694" s="0" t="n">
        <v>5</v>
      </c>
      <c r="C694" s="0" t="str">
        <f aca="false">MID(A694,4,3)</f>
        <v>LAD</v>
      </c>
      <c r="D694" s="0" t="str">
        <f aca="false">LEFT(A694,20)</f>
        <v>PX-LAD-4A-2803-000-2</v>
      </c>
      <c r="E694" s="0" t="str">
        <f aca="false">RIGHT(A694,1)</f>
        <v>B</v>
      </c>
      <c r="F694" s="0" t="s">
        <v>782</v>
      </c>
      <c r="G694" s="0" t="str">
        <f aca="false">MID(D694,8,1)</f>
        <v>4</v>
      </c>
      <c r="H694" s="0" t="n">
        <v>1</v>
      </c>
    </row>
    <row r="695" customFormat="false" ht="15" hidden="false" customHeight="false" outlineLevel="0" collapsed="false">
      <c r="A695" s="0" t="s">
        <v>940</v>
      </c>
      <c r="B695" s="0" t="n">
        <v>5</v>
      </c>
      <c r="C695" s="0" t="str">
        <f aca="false">MID(A695,4,3)</f>
        <v>LAD</v>
      </c>
      <c r="D695" s="0" t="str">
        <f aca="false">LEFT(A695,20)</f>
        <v>PX-LAD-4A-2803-000-2</v>
      </c>
      <c r="E695" s="0" t="str">
        <f aca="false">RIGHT(A695,1)</f>
        <v>C</v>
      </c>
      <c r="F695" s="0" t="s">
        <v>782</v>
      </c>
      <c r="G695" s="0" t="str">
        <f aca="false">MID(D695,8,1)</f>
        <v>4</v>
      </c>
      <c r="H695" s="0" t="n">
        <v>1</v>
      </c>
    </row>
    <row r="696" customFormat="false" ht="15" hidden="false" customHeight="false" outlineLevel="0" collapsed="false">
      <c r="A696" s="0" t="s">
        <v>941</v>
      </c>
      <c r="B696" s="0" t="n">
        <v>5</v>
      </c>
      <c r="C696" s="0" t="str">
        <f aca="false">MID(A696,4,3)</f>
        <v>LAD</v>
      </c>
      <c r="D696" s="0" t="str">
        <f aca="false">LEFT(A696,20)</f>
        <v>PX-LAD-4A-2803-000-2</v>
      </c>
      <c r="E696" s="0" t="str">
        <f aca="false">RIGHT(A696,1)</f>
        <v>D</v>
      </c>
      <c r="F696" s="0" t="s">
        <v>782</v>
      </c>
      <c r="G696" s="0" t="str">
        <f aca="false">MID(D696,8,1)</f>
        <v>4</v>
      </c>
      <c r="H696" s="0" t="n">
        <v>1</v>
      </c>
    </row>
    <row r="697" customFormat="false" ht="15" hidden="false" customHeight="false" outlineLevel="0" collapsed="false">
      <c r="A697" s="0" t="s">
        <v>942</v>
      </c>
      <c r="B697" s="0" t="n">
        <v>5</v>
      </c>
      <c r="C697" s="0" t="str">
        <f aca="false">MID(A697,4,3)</f>
        <v>LAD</v>
      </c>
      <c r="D697" s="0" t="str">
        <f aca="false">LEFT(A697,20)</f>
        <v>PX-LAD-4A-2803-000-2</v>
      </c>
      <c r="E697" s="0" t="str">
        <f aca="false">RIGHT(A697,1)</f>
        <v>E</v>
      </c>
      <c r="F697" s="0" t="s">
        <v>782</v>
      </c>
      <c r="G697" s="0" t="str">
        <f aca="false">MID(D697,8,1)</f>
        <v>4</v>
      </c>
      <c r="H697" s="0" t="n">
        <v>1</v>
      </c>
    </row>
    <row r="698" customFormat="false" ht="15" hidden="false" customHeight="false" outlineLevel="0" collapsed="false">
      <c r="A698" s="0" t="s">
        <v>943</v>
      </c>
      <c r="B698" s="0" t="n">
        <v>5</v>
      </c>
      <c r="C698" s="0" t="str">
        <f aca="false">MID(A698,4,3)</f>
        <v>LAD</v>
      </c>
      <c r="D698" s="0" t="str">
        <f aca="false">A698</f>
        <v>PX-LAD-4A-2803-040</v>
      </c>
      <c r="E698" s="0" t="str">
        <f aca="false">RIGHT(A698,3)</f>
        <v>040</v>
      </c>
      <c r="F698" s="0" t="s">
        <v>782</v>
      </c>
      <c r="G698" s="0" t="str">
        <f aca="false">MID(D698,8,1)</f>
        <v>4</v>
      </c>
      <c r="H698" s="0" t="n">
        <v>1</v>
      </c>
    </row>
    <row r="699" customFormat="false" ht="15" hidden="false" customHeight="false" outlineLevel="0" collapsed="false">
      <c r="A699" s="0" t="s">
        <v>944</v>
      </c>
      <c r="B699" s="0" t="n">
        <v>5</v>
      </c>
      <c r="C699" s="0" t="str">
        <f aca="false">MID(A699,4,3)</f>
        <v>LAD</v>
      </c>
      <c r="D699" s="0" t="str">
        <f aca="false">LEFT(A699,18)</f>
        <v>PX-LAD-4A-2803-040</v>
      </c>
      <c r="E699" s="0" t="str">
        <f aca="false">RIGHT(A699,1)</f>
        <v>A</v>
      </c>
      <c r="F699" s="0" t="s">
        <v>782</v>
      </c>
      <c r="G699" s="0" t="str">
        <f aca="false">MID(D699,8,1)</f>
        <v>4</v>
      </c>
      <c r="H699" s="0" t="n">
        <v>1</v>
      </c>
    </row>
    <row r="700" customFormat="false" ht="15" hidden="false" customHeight="false" outlineLevel="0" collapsed="false">
      <c r="A700" s="0" t="s">
        <v>945</v>
      </c>
      <c r="B700" s="0" t="n">
        <v>5</v>
      </c>
      <c r="C700" s="0" t="str">
        <f aca="false">MID(A700,4,3)</f>
        <v>LAD</v>
      </c>
      <c r="D700" s="0" t="str">
        <f aca="false">LEFT(A700,18)</f>
        <v>PX-LAD-4A-2803-040</v>
      </c>
      <c r="E700" s="0" t="str">
        <f aca="false">RIGHT(A700,1)</f>
        <v>B</v>
      </c>
      <c r="F700" s="0" t="s">
        <v>782</v>
      </c>
      <c r="G700" s="0" t="str">
        <f aca="false">MID(D700,8,1)</f>
        <v>4</v>
      </c>
      <c r="H700" s="0" t="n">
        <v>1</v>
      </c>
    </row>
    <row r="701" customFormat="false" ht="15" hidden="false" customHeight="false" outlineLevel="0" collapsed="false">
      <c r="A701" s="0" t="s">
        <v>946</v>
      </c>
      <c r="B701" s="0" t="n">
        <v>5</v>
      </c>
      <c r="C701" s="0" t="str">
        <f aca="false">MID(A701,4,3)</f>
        <v>LAD</v>
      </c>
      <c r="D701" s="0" t="str">
        <f aca="false">LEFT(A701,18)</f>
        <v>PX-LAD-4A-2803-040</v>
      </c>
      <c r="E701" s="0" t="str">
        <f aca="false">RIGHT(A701,1)</f>
        <v>C</v>
      </c>
      <c r="F701" s="0" t="s">
        <v>782</v>
      </c>
      <c r="G701" s="0" t="str">
        <f aca="false">MID(D701,8,1)</f>
        <v>4</v>
      </c>
      <c r="H701" s="0" t="n">
        <v>1</v>
      </c>
    </row>
    <row r="702" customFormat="false" ht="15" hidden="false" customHeight="false" outlineLevel="0" collapsed="false">
      <c r="A702" s="0" t="s">
        <v>947</v>
      </c>
      <c r="B702" s="0" t="n">
        <v>5</v>
      </c>
      <c r="C702" s="0" t="str">
        <f aca="false">MID(A702,4,3)</f>
        <v>LAD</v>
      </c>
      <c r="D702" s="0" t="str">
        <f aca="false">LEFT(A702,18)</f>
        <v>PX-LAD-4A-2803-040</v>
      </c>
      <c r="E702" s="0" t="str">
        <f aca="false">RIGHT(A702,1)</f>
        <v>D</v>
      </c>
      <c r="F702" s="0" t="s">
        <v>782</v>
      </c>
      <c r="G702" s="0" t="str">
        <f aca="false">MID(D702,8,1)</f>
        <v>4</v>
      </c>
      <c r="H702" s="0" t="n">
        <v>1</v>
      </c>
    </row>
    <row r="703" customFormat="false" ht="15" hidden="false" customHeight="false" outlineLevel="0" collapsed="false">
      <c r="A703" s="0" t="s">
        <v>948</v>
      </c>
      <c r="B703" s="0" t="n">
        <v>5</v>
      </c>
      <c r="C703" s="0" t="str">
        <f aca="false">MID(A703,4,3)</f>
        <v>LAD</v>
      </c>
      <c r="D703" s="0" t="str">
        <f aca="false">LEFT(A703,18)</f>
        <v>PX-LAD-4A-2803-040</v>
      </c>
      <c r="E703" s="0" t="str">
        <f aca="false">RIGHT(A703,1)</f>
        <v>E</v>
      </c>
      <c r="F703" s="0" t="s">
        <v>782</v>
      </c>
      <c r="G703" s="0" t="str">
        <f aca="false">MID(D703,8,1)</f>
        <v>4</v>
      </c>
      <c r="H703" s="0" t="n">
        <v>1</v>
      </c>
    </row>
    <row r="704" customFormat="false" ht="15" hidden="false" customHeight="false" outlineLevel="0" collapsed="false">
      <c r="A704" s="0" t="s">
        <v>949</v>
      </c>
      <c r="B704" s="0" t="n">
        <v>5</v>
      </c>
      <c r="C704" s="0" t="str">
        <f aca="false">MID(A704,4,3)</f>
        <v>LAD</v>
      </c>
      <c r="D704" s="0" t="str">
        <f aca="false">LEFT(A704,20)</f>
        <v>PX-LAD-4A-2803-040-2</v>
      </c>
      <c r="E704" s="0" t="str">
        <f aca="false">RIGHT(A704,1)</f>
        <v>A</v>
      </c>
      <c r="F704" s="0" t="s">
        <v>782</v>
      </c>
      <c r="G704" s="0" t="str">
        <f aca="false">MID(D704,8,1)</f>
        <v>4</v>
      </c>
      <c r="H704" s="0" t="n">
        <v>1</v>
      </c>
    </row>
    <row r="705" customFormat="false" ht="15" hidden="false" customHeight="false" outlineLevel="0" collapsed="false">
      <c r="A705" s="0" t="s">
        <v>950</v>
      </c>
      <c r="B705" s="0" t="n">
        <v>5</v>
      </c>
      <c r="C705" s="0" t="str">
        <f aca="false">MID(A705,4,3)</f>
        <v>LAD</v>
      </c>
      <c r="D705" s="0" t="str">
        <f aca="false">LEFT(A705,20)</f>
        <v>PX-LAD-4A-2803-040-2</v>
      </c>
      <c r="E705" s="0" t="str">
        <f aca="false">RIGHT(A705,1)</f>
        <v>B</v>
      </c>
      <c r="F705" s="0" t="s">
        <v>782</v>
      </c>
      <c r="G705" s="0" t="str">
        <f aca="false">MID(D705,8,1)</f>
        <v>4</v>
      </c>
      <c r="H705" s="0" t="n">
        <v>1</v>
      </c>
    </row>
    <row r="706" customFormat="false" ht="15" hidden="false" customHeight="false" outlineLevel="0" collapsed="false">
      <c r="A706" s="0" t="s">
        <v>951</v>
      </c>
      <c r="B706" s="0" t="n">
        <v>5</v>
      </c>
      <c r="C706" s="0" t="str">
        <f aca="false">MID(A706,4,3)</f>
        <v>LAD</v>
      </c>
      <c r="D706" s="0" t="str">
        <f aca="false">LEFT(A706,20)</f>
        <v>PX-LAD-4A-2803-040-2</v>
      </c>
      <c r="E706" s="0" t="str">
        <f aca="false">RIGHT(A706,1)</f>
        <v>C</v>
      </c>
      <c r="F706" s="0" t="s">
        <v>782</v>
      </c>
      <c r="G706" s="0" t="str">
        <f aca="false">MID(D706,8,1)</f>
        <v>4</v>
      </c>
      <c r="H706" s="0" t="n">
        <v>1</v>
      </c>
    </row>
    <row r="707" customFormat="false" ht="15" hidden="false" customHeight="false" outlineLevel="0" collapsed="false">
      <c r="A707" s="0" t="s">
        <v>952</v>
      </c>
      <c r="B707" s="0" t="n">
        <v>5</v>
      </c>
      <c r="C707" s="0" t="str">
        <f aca="false">MID(A707,4,3)</f>
        <v>LAD</v>
      </c>
      <c r="D707" s="0" t="str">
        <f aca="false">LEFT(A707,20)</f>
        <v>PX-LAD-4A-2803-040-2</v>
      </c>
      <c r="E707" s="0" t="str">
        <f aca="false">RIGHT(A707,1)</f>
        <v>D</v>
      </c>
      <c r="F707" s="0" t="s">
        <v>782</v>
      </c>
      <c r="G707" s="0" t="str">
        <f aca="false">MID(D707,8,1)</f>
        <v>4</v>
      </c>
      <c r="H707" s="0" t="n">
        <v>1</v>
      </c>
    </row>
    <row r="708" customFormat="false" ht="15" hidden="false" customHeight="false" outlineLevel="0" collapsed="false">
      <c r="A708" s="0" t="s">
        <v>953</v>
      </c>
      <c r="B708" s="0" t="n">
        <v>5</v>
      </c>
      <c r="C708" s="0" t="str">
        <f aca="false">MID(A708,4,3)</f>
        <v>LAD</v>
      </c>
      <c r="D708" s="0" t="str">
        <f aca="false">LEFT(A708,20)</f>
        <v>PX-LAD-4A-2803-040-2</v>
      </c>
      <c r="E708" s="0" t="str">
        <f aca="false">RIGHT(A708,1)</f>
        <v>E</v>
      </c>
      <c r="F708" s="0" t="s">
        <v>782</v>
      </c>
      <c r="G708" s="0" t="str">
        <f aca="false">MID(D708,8,1)</f>
        <v>4</v>
      </c>
      <c r="H708" s="0" t="n">
        <v>1</v>
      </c>
    </row>
    <row r="709" customFormat="false" ht="15" hidden="false" customHeight="false" outlineLevel="0" collapsed="false">
      <c r="A709" s="0" t="s">
        <v>954</v>
      </c>
      <c r="B709" s="0" t="n">
        <v>5</v>
      </c>
      <c r="C709" s="0" t="str">
        <f aca="false">MID(A709,4,3)</f>
        <v>LAD</v>
      </c>
      <c r="D709" s="0" t="str">
        <f aca="false">A709</f>
        <v>PX-LAD-4A-2803-070</v>
      </c>
      <c r="E709" s="0" t="str">
        <f aca="false">RIGHT(A709,3)</f>
        <v>070</v>
      </c>
      <c r="F709" s="0" t="s">
        <v>782</v>
      </c>
      <c r="G709" s="0" t="str">
        <f aca="false">MID(D709,8,1)</f>
        <v>4</v>
      </c>
      <c r="H709" s="0" t="n">
        <v>1</v>
      </c>
    </row>
    <row r="710" customFormat="false" ht="15" hidden="false" customHeight="false" outlineLevel="0" collapsed="false">
      <c r="A710" s="0" t="s">
        <v>955</v>
      </c>
      <c r="B710" s="0" t="n">
        <v>5</v>
      </c>
      <c r="C710" s="0" t="str">
        <f aca="false">MID(A710,4,3)</f>
        <v>LAD</v>
      </c>
      <c r="D710" s="0" t="str">
        <f aca="false">LEFT(A710,18)</f>
        <v>PX-LAD-4A-2803-070</v>
      </c>
      <c r="E710" s="0" t="str">
        <f aca="false">RIGHT(A710,1)</f>
        <v>A</v>
      </c>
      <c r="F710" s="0" t="s">
        <v>782</v>
      </c>
      <c r="G710" s="0" t="str">
        <f aca="false">MID(D710,8,1)</f>
        <v>4</v>
      </c>
      <c r="H710" s="0" t="n">
        <v>1</v>
      </c>
    </row>
    <row r="711" customFormat="false" ht="15" hidden="false" customHeight="false" outlineLevel="0" collapsed="false">
      <c r="A711" s="0" t="s">
        <v>956</v>
      </c>
      <c r="B711" s="0" t="n">
        <v>5</v>
      </c>
      <c r="C711" s="0" t="str">
        <f aca="false">MID(A711,4,3)</f>
        <v>LAD</v>
      </c>
      <c r="D711" s="0" t="str">
        <f aca="false">LEFT(A711,18)</f>
        <v>PX-LAD-4A-2803-070</v>
      </c>
      <c r="E711" s="0" t="str">
        <f aca="false">RIGHT(A711,1)</f>
        <v>B</v>
      </c>
      <c r="F711" s="0" t="s">
        <v>782</v>
      </c>
      <c r="G711" s="0" t="str">
        <f aca="false">MID(D711,8,1)</f>
        <v>4</v>
      </c>
      <c r="H711" s="0" t="n">
        <v>1</v>
      </c>
    </row>
    <row r="712" customFormat="false" ht="15" hidden="false" customHeight="false" outlineLevel="0" collapsed="false">
      <c r="A712" s="0" t="s">
        <v>957</v>
      </c>
      <c r="B712" s="0" t="n">
        <v>5</v>
      </c>
      <c r="C712" s="0" t="str">
        <f aca="false">MID(A712,4,3)</f>
        <v>LAD</v>
      </c>
      <c r="D712" s="0" t="str">
        <f aca="false">LEFT(A712,18)</f>
        <v>PX-LAD-4A-2803-070</v>
      </c>
      <c r="E712" s="0" t="str">
        <f aca="false">RIGHT(A712,1)</f>
        <v>C</v>
      </c>
      <c r="F712" s="0" t="s">
        <v>782</v>
      </c>
      <c r="G712" s="0" t="str">
        <f aca="false">MID(D712,8,1)</f>
        <v>4</v>
      </c>
      <c r="H712" s="0" t="n">
        <v>1</v>
      </c>
    </row>
    <row r="713" customFormat="false" ht="15" hidden="false" customHeight="false" outlineLevel="0" collapsed="false">
      <c r="A713" s="0" t="s">
        <v>958</v>
      </c>
      <c r="B713" s="0" t="n">
        <v>5</v>
      </c>
      <c r="C713" s="0" t="str">
        <f aca="false">MID(A713,4,3)</f>
        <v>LAD</v>
      </c>
      <c r="D713" s="0" t="str">
        <f aca="false">LEFT(A713,18)</f>
        <v>PX-LAD-4A-2803-070</v>
      </c>
      <c r="E713" s="0" t="str">
        <f aca="false">RIGHT(A713,1)</f>
        <v>D</v>
      </c>
      <c r="F713" s="0" t="s">
        <v>782</v>
      </c>
      <c r="G713" s="0" t="str">
        <f aca="false">MID(D713,8,1)</f>
        <v>4</v>
      </c>
      <c r="H713" s="0" t="n">
        <v>1</v>
      </c>
    </row>
    <row r="714" customFormat="false" ht="15" hidden="false" customHeight="false" outlineLevel="0" collapsed="false">
      <c r="A714" s="0" t="s">
        <v>959</v>
      </c>
      <c r="B714" s="0" t="n">
        <v>5</v>
      </c>
      <c r="C714" s="0" t="str">
        <f aca="false">MID(A714,4,3)</f>
        <v>LAD</v>
      </c>
      <c r="D714" s="0" t="str">
        <f aca="false">LEFT(A714,18)</f>
        <v>PX-LAD-4A-2803-070</v>
      </c>
      <c r="E714" s="0" t="str">
        <f aca="false">RIGHT(A714,1)</f>
        <v>E</v>
      </c>
      <c r="F714" s="0" t="s">
        <v>782</v>
      </c>
      <c r="G714" s="0" t="str">
        <f aca="false">MID(D714,8,1)</f>
        <v>4</v>
      </c>
      <c r="H714" s="0" t="n">
        <v>1</v>
      </c>
    </row>
    <row r="715" customFormat="false" ht="15" hidden="false" customHeight="false" outlineLevel="0" collapsed="false">
      <c r="A715" s="0" t="s">
        <v>960</v>
      </c>
      <c r="B715" s="0" t="n">
        <v>5</v>
      </c>
      <c r="C715" s="0" t="str">
        <f aca="false">MID(A715,4,3)</f>
        <v>LAD</v>
      </c>
      <c r="D715" s="0" t="str">
        <f aca="false">LEFT(A715,20)</f>
        <v>PX-LAD-4A-2803-070-2</v>
      </c>
      <c r="E715" s="0" t="str">
        <f aca="false">RIGHT(A715,1)</f>
        <v>A</v>
      </c>
      <c r="F715" s="0" t="s">
        <v>782</v>
      </c>
      <c r="G715" s="0" t="str">
        <f aca="false">MID(D715,8,1)</f>
        <v>4</v>
      </c>
      <c r="H715" s="0" t="n">
        <v>1</v>
      </c>
    </row>
    <row r="716" customFormat="false" ht="15" hidden="false" customHeight="false" outlineLevel="0" collapsed="false">
      <c r="A716" s="0" t="s">
        <v>961</v>
      </c>
      <c r="B716" s="0" t="n">
        <v>5</v>
      </c>
      <c r="C716" s="0" t="str">
        <f aca="false">MID(A716,4,3)</f>
        <v>LAD</v>
      </c>
      <c r="D716" s="0" t="str">
        <f aca="false">LEFT(A716,20)</f>
        <v>PX-LAD-4A-2803-070-2</v>
      </c>
      <c r="E716" s="0" t="str">
        <f aca="false">RIGHT(A716,1)</f>
        <v>B</v>
      </c>
      <c r="F716" s="0" t="s">
        <v>782</v>
      </c>
      <c r="G716" s="0" t="str">
        <f aca="false">MID(D716,8,1)</f>
        <v>4</v>
      </c>
      <c r="H716" s="0" t="n">
        <v>1</v>
      </c>
    </row>
    <row r="717" customFormat="false" ht="15" hidden="false" customHeight="false" outlineLevel="0" collapsed="false">
      <c r="A717" s="0" t="s">
        <v>962</v>
      </c>
      <c r="B717" s="0" t="n">
        <v>5</v>
      </c>
      <c r="C717" s="0" t="str">
        <f aca="false">MID(A717,4,3)</f>
        <v>LAD</v>
      </c>
      <c r="D717" s="0" t="str">
        <f aca="false">LEFT(A717,20)</f>
        <v>PX-LAD-4A-2803-070-2</v>
      </c>
      <c r="E717" s="0" t="str">
        <f aca="false">RIGHT(A717,1)</f>
        <v>C</v>
      </c>
      <c r="F717" s="0" t="s">
        <v>782</v>
      </c>
      <c r="G717" s="0" t="str">
        <f aca="false">MID(D717,8,1)</f>
        <v>4</v>
      </c>
      <c r="H717" s="0" t="n">
        <v>1</v>
      </c>
    </row>
    <row r="718" customFormat="false" ht="15" hidden="false" customHeight="false" outlineLevel="0" collapsed="false">
      <c r="A718" s="0" t="s">
        <v>963</v>
      </c>
      <c r="B718" s="0" t="n">
        <v>5</v>
      </c>
      <c r="C718" s="0" t="str">
        <f aca="false">MID(A718,4,3)</f>
        <v>LAD</v>
      </c>
      <c r="D718" s="0" t="str">
        <f aca="false">LEFT(A718,20)</f>
        <v>PX-LAD-4A-2803-070-2</v>
      </c>
      <c r="E718" s="0" t="str">
        <f aca="false">RIGHT(A718,1)</f>
        <v>D</v>
      </c>
      <c r="F718" s="0" t="s">
        <v>782</v>
      </c>
      <c r="G718" s="0" t="str">
        <f aca="false">MID(D718,8,1)</f>
        <v>4</v>
      </c>
      <c r="H718" s="0" t="n">
        <v>1</v>
      </c>
    </row>
    <row r="719" customFormat="false" ht="15" hidden="false" customHeight="false" outlineLevel="0" collapsed="false">
      <c r="A719" s="0" t="s">
        <v>964</v>
      </c>
      <c r="B719" s="0" t="n">
        <v>5</v>
      </c>
      <c r="C719" s="0" t="str">
        <f aca="false">MID(A719,4,3)</f>
        <v>LAD</v>
      </c>
      <c r="D719" s="0" t="str">
        <f aca="false">LEFT(A719,20)</f>
        <v>PX-LAD-4A-2803-070-2</v>
      </c>
      <c r="E719" s="0" t="str">
        <f aca="false">RIGHT(A719,1)</f>
        <v>E</v>
      </c>
      <c r="F719" s="0" t="s">
        <v>782</v>
      </c>
      <c r="G719" s="0" t="str">
        <f aca="false">MID(D719,8,1)</f>
        <v>4</v>
      </c>
      <c r="H719" s="0" t="n">
        <v>1</v>
      </c>
    </row>
    <row r="720" customFormat="false" ht="15" hidden="false" customHeight="false" outlineLevel="0" collapsed="false">
      <c r="A720" s="0" t="s">
        <v>965</v>
      </c>
      <c r="B720" s="0" t="n">
        <v>5</v>
      </c>
      <c r="C720" s="0" t="str">
        <f aca="false">MID(A720,4,3)</f>
        <v>LAD</v>
      </c>
      <c r="D720" s="0" t="str">
        <f aca="false">A720</f>
        <v>PX-LAD-4A-2803-080</v>
      </c>
      <c r="E720" s="0" t="str">
        <f aca="false">RIGHT(A720,3)</f>
        <v>080</v>
      </c>
      <c r="F720" s="0" t="s">
        <v>782</v>
      </c>
      <c r="G720" s="0" t="str">
        <f aca="false">MID(D720,8,1)</f>
        <v>4</v>
      </c>
      <c r="H720" s="0" t="n">
        <v>1</v>
      </c>
    </row>
    <row r="721" customFormat="false" ht="15" hidden="false" customHeight="false" outlineLevel="0" collapsed="false">
      <c r="A721" s="0" t="s">
        <v>966</v>
      </c>
      <c r="B721" s="0" t="n">
        <v>5</v>
      </c>
      <c r="C721" s="0" t="str">
        <f aca="false">MID(A721,4,3)</f>
        <v>LAD</v>
      </c>
      <c r="D721" s="0" t="str">
        <f aca="false">LEFT(A721,18)</f>
        <v>PX-LAD-4A-2803-080</v>
      </c>
      <c r="E721" s="0" t="str">
        <f aca="false">RIGHT(A721,1)</f>
        <v>A</v>
      </c>
      <c r="F721" s="0" t="s">
        <v>782</v>
      </c>
      <c r="G721" s="0" t="str">
        <f aca="false">MID(D721,8,1)</f>
        <v>4</v>
      </c>
      <c r="H721" s="0" t="n">
        <v>1</v>
      </c>
    </row>
    <row r="722" customFormat="false" ht="15" hidden="false" customHeight="false" outlineLevel="0" collapsed="false">
      <c r="A722" s="0" t="s">
        <v>967</v>
      </c>
      <c r="B722" s="0" t="n">
        <v>5</v>
      </c>
      <c r="C722" s="0" t="str">
        <f aca="false">MID(A722,4,3)</f>
        <v>LAD</v>
      </c>
      <c r="D722" s="0" t="str">
        <f aca="false">LEFT(A722,18)</f>
        <v>PX-LAD-4A-2803-080</v>
      </c>
      <c r="E722" s="0" t="str">
        <f aca="false">RIGHT(A722,1)</f>
        <v>B</v>
      </c>
      <c r="F722" s="0" t="s">
        <v>782</v>
      </c>
      <c r="G722" s="0" t="str">
        <f aca="false">MID(D722,8,1)</f>
        <v>4</v>
      </c>
      <c r="H722" s="0" t="n">
        <v>1</v>
      </c>
    </row>
    <row r="723" customFormat="false" ht="15" hidden="false" customHeight="false" outlineLevel="0" collapsed="false">
      <c r="A723" s="0" t="s">
        <v>968</v>
      </c>
      <c r="B723" s="0" t="n">
        <v>5</v>
      </c>
      <c r="C723" s="0" t="str">
        <f aca="false">MID(A723,4,3)</f>
        <v>LAD</v>
      </c>
      <c r="D723" s="0" t="str">
        <f aca="false">LEFT(A723,18)</f>
        <v>PX-LAD-4A-2803-080</v>
      </c>
      <c r="E723" s="0" t="str">
        <f aca="false">RIGHT(A723,1)</f>
        <v>C</v>
      </c>
      <c r="F723" s="0" t="s">
        <v>782</v>
      </c>
      <c r="G723" s="0" t="str">
        <f aca="false">MID(D723,8,1)</f>
        <v>4</v>
      </c>
      <c r="H723" s="0" t="n">
        <v>1</v>
      </c>
    </row>
    <row r="724" customFormat="false" ht="15" hidden="false" customHeight="false" outlineLevel="0" collapsed="false">
      <c r="A724" s="0" t="s">
        <v>969</v>
      </c>
      <c r="B724" s="0" t="n">
        <v>5</v>
      </c>
      <c r="C724" s="0" t="str">
        <f aca="false">MID(A724,4,3)</f>
        <v>LAD</v>
      </c>
      <c r="D724" s="0" t="str">
        <f aca="false">LEFT(A724,18)</f>
        <v>PX-LAD-4A-2803-080</v>
      </c>
      <c r="E724" s="0" t="str">
        <f aca="false">RIGHT(A724,1)</f>
        <v>D</v>
      </c>
      <c r="F724" s="0" t="s">
        <v>782</v>
      </c>
      <c r="G724" s="0" t="str">
        <f aca="false">MID(D724,8,1)</f>
        <v>4</v>
      </c>
      <c r="H724" s="0" t="n">
        <v>1</v>
      </c>
    </row>
    <row r="725" customFormat="false" ht="15" hidden="false" customHeight="false" outlineLevel="0" collapsed="false">
      <c r="A725" s="0" t="s">
        <v>970</v>
      </c>
      <c r="B725" s="0" t="n">
        <v>5</v>
      </c>
      <c r="C725" s="0" t="str">
        <f aca="false">MID(A725,4,3)</f>
        <v>LAD</v>
      </c>
      <c r="D725" s="0" t="str">
        <f aca="false">LEFT(A725,18)</f>
        <v>PX-LAD-4A-2803-080</v>
      </c>
      <c r="E725" s="0" t="str">
        <f aca="false">RIGHT(A725,1)</f>
        <v>E</v>
      </c>
      <c r="F725" s="0" t="s">
        <v>782</v>
      </c>
      <c r="G725" s="0" t="str">
        <f aca="false">MID(D725,8,1)</f>
        <v>4</v>
      </c>
      <c r="H725" s="0" t="n">
        <v>1</v>
      </c>
    </row>
    <row r="726" customFormat="false" ht="15" hidden="false" customHeight="false" outlineLevel="0" collapsed="false">
      <c r="A726" s="0" t="s">
        <v>971</v>
      </c>
      <c r="B726" s="0" t="n">
        <v>5</v>
      </c>
      <c r="C726" s="0" t="str">
        <f aca="false">MID(A726,4,3)</f>
        <v>LAD</v>
      </c>
      <c r="D726" s="0" t="str">
        <f aca="false">LEFT(A726,20)</f>
        <v>PX-LAD-4A-2803-080-2</v>
      </c>
      <c r="E726" s="0" t="str">
        <f aca="false">RIGHT(A726,1)</f>
        <v>A</v>
      </c>
      <c r="F726" s="0" t="s">
        <v>782</v>
      </c>
      <c r="G726" s="0" t="str">
        <f aca="false">MID(D726,8,1)</f>
        <v>4</v>
      </c>
      <c r="H726" s="0" t="n">
        <v>1</v>
      </c>
    </row>
    <row r="727" customFormat="false" ht="15" hidden="false" customHeight="false" outlineLevel="0" collapsed="false">
      <c r="A727" s="0" t="s">
        <v>972</v>
      </c>
      <c r="B727" s="0" t="n">
        <v>5</v>
      </c>
      <c r="C727" s="0" t="str">
        <f aca="false">MID(A727,4,3)</f>
        <v>LAD</v>
      </c>
      <c r="D727" s="0" t="str">
        <f aca="false">LEFT(A727,20)</f>
        <v>PX-LAD-4A-2803-080-2</v>
      </c>
      <c r="E727" s="0" t="str">
        <f aca="false">RIGHT(A727,1)</f>
        <v>B</v>
      </c>
      <c r="F727" s="0" t="s">
        <v>782</v>
      </c>
      <c r="G727" s="0" t="str">
        <f aca="false">MID(D727,8,1)</f>
        <v>4</v>
      </c>
      <c r="H727" s="0" t="n">
        <v>1</v>
      </c>
    </row>
    <row r="728" customFormat="false" ht="15" hidden="false" customHeight="false" outlineLevel="0" collapsed="false">
      <c r="A728" s="0" t="s">
        <v>973</v>
      </c>
      <c r="B728" s="0" t="n">
        <v>5</v>
      </c>
      <c r="C728" s="0" t="str">
        <f aca="false">MID(A728,4,3)</f>
        <v>LAD</v>
      </c>
      <c r="D728" s="0" t="str">
        <f aca="false">LEFT(A728,20)</f>
        <v>PX-LAD-4A-2803-080-2</v>
      </c>
      <c r="E728" s="0" t="str">
        <f aca="false">RIGHT(A728,1)</f>
        <v>C</v>
      </c>
      <c r="F728" s="0" t="s">
        <v>782</v>
      </c>
      <c r="G728" s="0" t="str">
        <f aca="false">MID(D728,8,1)</f>
        <v>4</v>
      </c>
      <c r="H728" s="0" t="n">
        <v>1</v>
      </c>
    </row>
    <row r="729" customFormat="false" ht="15" hidden="false" customHeight="false" outlineLevel="0" collapsed="false">
      <c r="A729" s="0" t="s">
        <v>974</v>
      </c>
      <c r="B729" s="0" t="n">
        <v>5</v>
      </c>
      <c r="C729" s="0" t="str">
        <f aca="false">MID(A729,4,3)</f>
        <v>LAD</v>
      </c>
      <c r="D729" s="0" t="str">
        <f aca="false">LEFT(A729,20)</f>
        <v>PX-LAD-4A-2803-080-2</v>
      </c>
      <c r="E729" s="0" t="str">
        <f aca="false">RIGHT(A729,1)</f>
        <v>D</v>
      </c>
      <c r="F729" s="0" t="s">
        <v>782</v>
      </c>
      <c r="G729" s="0" t="str">
        <f aca="false">MID(D729,8,1)</f>
        <v>4</v>
      </c>
      <c r="H729" s="0" t="n">
        <v>1</v>
      </c>
    </row>
    <row r="730" customFormat="false" ht="15" hidden="false" customHeight="false" outlineLevel="0" collapsed="false">
      <c r="A730" s="0" t="s">
        <v>975</v>
      </c>
      <c r="B730" s="0" t="n">
        <v>5</v>
      </c>
      <c r="C730" s="0" t="str">
        <f aca="false">MID(A730,4,3)</f>
        <v>LAD</v>
      </c>
      <c r="D730" s="0" t="str">
        <f aca="false">LEFT(A730,20)</f>
        <v>PX-LAD-4A-2803-080-2</v>
      </c>
      <c r="E730" s="0" t="str">
        <f aca="false">RIGHT(A730,1)</f>
        <v>E</v>
      </c>
      <c r="F730" s="0" t="s">
        <v>782</v>
      </c>
      <c r="G730" s="0" t="str">
        <f aca="false">MID(D730,8,1)</f>
        <v>4</v>
      </c>
      <c r="H730" s="0" t="n">
        <v>1</v>
      </c>
    </row>
    <row r="731" customFormat="false" ht="15" hidden="false" customHeight="false" outlineLevel="0" collapsed="false">
      <c r="A731" s="0" t="s">
        <v>976</v>
      </c>
      <c r="B731" s="0" t="n">
        <v>5</v>
      </c>
      <c r="C731" s="0" t="str">
        <f aca="false">MID(A731,4,3)</f>
        <v>LAD</v>
      </c>
      <c r="D731" s="0" t="str">
        <f aca="false">A731</f>
        <v>PX-LAD-4A-2803-100</v>
      </c>
      <c r="E731" s="0" t="str">
        <f aca="false">RIGHT(A731,3)</f>
        <v>100</v>
      </c>
      <c r="F731" s="0" t="s">
        <v>782</v>
      </c>
      <c r="G731" s="0" t="str">
        <f aca="false">MID(D731,8,1)</f>
        <v>4</v>
      </c>
      <c r="H731" s="0" t="n">
        <v>1</v>
      </c>
    </row>
    <row r="732" customFormat="false" ht="15" hidden="false" customHeight="false" outlineLevel="0" collapsed="false">
      <c r="A732" s="0" t="s">
        <v>977</v>
      </c>
      <c r="B732" s="0" t="n">
        <v>5</v>
      </c>
      <c r="C732" s="0" t="str">
        <f aca="false">MID(A732,4,3)</f>
        <v>LAD</v>
      </c>
      <c r="D732" s="0" t="str">
        <f aca="false">LEFT(A732,18)</f>
        <v>PX-LAD-4A-2803-100</v>
      </c>
      <c r="E732" s="0" t="str">
        <f aca="false">RIGHT(A732,1)</f>
        <v>A</v>
      </c>
      <c r="F732" s="0" t="s">
        <v>782</v>
      </c>
      <c r="G732" s="0" t="str">
        <f aca="false">MID(D732,8,1)</f>
        <v>4</v>
      </c>
      <c r="H732" s="0" t="n">
        <v>1</v>
      </c>
    </row>
    <row r="733" customFormat="false" ht="15" hidden="false" customHeight="false" outlineLevel="0" collapsed="false">
      <c r="A733" s="0" t="s">
        <v>978</v>
      </c>
      <c r="B733" s="0" t="n">
        <v>5</v>
      </c>
      <c r="C733" s="0" t="str">
        <f aca="false">MID(A733,4,3)</f>
        <v>LAD</v>
      </c>
      <c r="D733" s="0" t="str">
        <f aca="false">LEFT(A733,18)</f>
        <v>PX-LAD-4A-2803-100</v>
      </c>
      <c r="E733" s="0" t="str">
        <f aca="false">RIGHT(A733,1)</f>
        <v>B</v>
      </c>
      <c r="F733" s="0" t="s">
        <v>782</v>
      </c>
      <c r="G733" s="0" t="str">
        <f aca="false">MID(D733,8,1)</f>
        <v>4</v>
      </c>
      <c r="H733" s="0" t="n">
        <v>1</v>
      </c>
    </row>
    <row r="734" customFormat="false" ht="15" hidden="false" customHeight="false" outlineLevel="0" collapsed="false">
      <c r="A734" s="0" t="s">
        <v>979</v>
      </c>
      <c r="B734" s="0" t="n">
        <v>5</v>
      </c>
      <c r="C734" s="0" t="str">
        <f aca="false">MID(A734,4,3)</f>
        <v>LAD</v>
      </c>
      <c r="D734" s="0" t="str">
        <f aca="false">LEFT(A734,18)</f>
        <v>PX-LAD-4A-2803-100</v>
      </c>
      <c r="E734" s="0" t="str">
        <f aca="false">RIGHT(A734,1)</f>
        <v>C</v>
      </c>
      <c r="F734" s="0" t="s">
        <v>782</v>
      </c>
      <c r="G734" s="0" t="str">
        <f aca="false">MID(D734,8,1)</f>
        <v>4</v>
      </c>
      <c r="H734" s="0" t="n">
        <v>1</v>
      </c>
    </row>
    <row r="735" customFormat="false" ht="15" hidden="false" customHeight="false" outlineLevel="0" collapsed="false">
      <c r="A735" s="0" t="s">
        <v>980</v>
      </c>
      <c r="B735" s="0" t="n">
        <v>5</v>
      </c>
      <c r="C735" s="0" t="str">
        <f aca="false">MID(A735,4,3)</f>
        <v>LAD</v>
      </c>
      <c r="D735" s="0" t="str">
        <f aca="false">LEFT(A735,18)</f>
        <v>PX-LAD-4A-2803-100</v>
      </c>
      <c r="E735" s="0" t="str">
        <f aca="false">RIGHT(A735,1)</f>
        <v>D</v>
      </c>
      <c r="F735" s="0" t="s">
        <v>782</v>
      </c>
      <c r="G735" s="0" t="str">
        <f aca="false">MID(D735,8,1)</f>
        <v>4</v>
      </c>
      <c r="H735" s="0" t="n">
        <v>1</v>
      </c>
    </row>
    <row r="736" customFormat="false" ht="15" hidden="false" customHeight="false" outlineLevel="0" collapsed="false">
      <c r="A736" s="0" t="s">
        <v>981</v>
      </c>
      <c r="B736" s="0" t="n">
        <v>5</v>
      </c>
      <c r="C736" s="0" t="str">
        <f aca="false">MID(A736,4,3)</f>
        <v>LAD</v>
      </c>
      <c r="D736" s="0" t="str">
        <f aca="false">LEFT(A736,18)</f>
        <v>PX-LAD-4A-2803-100</v>
      </c>
      <c r="E736" s="0" t="str">
        <f aca="false">RIGHT(A736,1)</f>
        <v>E</v>
      </c>
      <c r="F736" s="0" t="s">
        <v>782</v>
      </c>
      <c r="G736" s="0" t="str">
        <f aca="false">MID(D736,8,1)</f>
        <v>4</v>
      </c>
      <c r="H736" s="0" t="n">
        <v>1</v>
      </c>
    </row>
    <row r="737" customFormat="false" ht="15" hidden="false" customHeight="false" outlineLevel="0" collapsed="false">
      <c r="A737" s="0" t="s">
        <v>982</v>
      </c>
      <c r="B737" s="0" t="n">
        <v>5</v>
      </c>
      <c r="C737" s="0" t="str">
        <f aca="false">MID(A737,4,3)</f>
        <v>LAD</v>
      </c>
      <c r="D737" s="0" t="str">
        <f aca="false">LEFT(A737,20)</f>
        <v>PX-LAD-4A-2803-100-2</v>
      </c>
      <c r="E737" s="0" t="str">
        <f aca="false">RIGHT(A737,1)</f>
        <v>A</v>
      </c>
      <c r="F737" s="0" t="s">
        <v>782</v>
      </c>
      <c r="G737" s="0" t="str">
        <f aca="false">MID(D737,8,1)</f>
        <v>4</v>
      </c>
      <c r="H737" s="0" t="n">
        <v>1</v>
      </c>
    </row>
    <row r="738" customFormat="false" ht="15" hidden="false" customHeight="false" outlineLevel="0" collapsed="false">
      <c r="A738" s="0" t="s">
        <v>983</v>
      </c>
      <c r="B738" s="0" t="n">
        <v>5</v>
      </c>
      <c r="C738" s="0" t="str">
        <f aca="false">MID(A738,4,3)</f>
        <v>LAD</v>
      </c>
      <c r="D738" s="0" t="str">
        <f aca="false">LEFT(A738,20)</f>
        <v>PX-LAD-4A-2803-100-2</v>
      </c>
      <c r="E738" s="0" t="str">
        <f aca="false">RIGHT(A738,1)</f>
        <v>B</v>
      </c>
      <c r="F738" s="0" t="s">
        <v>782</v>
      </c>
      <c r="G738" s="0" t="str">
        <f aca="false">MID(D738,8,1)</f>
        <v>4</v>
      </c>
      <c r="H738" s="0" t="n">
        <v>1</v>
      </c>
    </row>
    <row r="739" customFormat="false" ht="15" hidden="false" customHeight="false" outlineLevel="0" collapsed="false">
      <c r="A739" s="0" t="s">
        <v>984</v>
      </c>
      <c r="B739" s="0" t="n">
        <v>5</v>
      </c>
      <c r="C739" s="0" t="str">
        <f aca="false">MID(A739,4,3)</f>
        <v>LAD</v>
      </c>
      <c r="D739" s="0" t="str">
        <f aca="false">LEFT(A739,20)</f>
        <v>PX-LAD-4A-2803-100-2</v>
      </c>
      <c r="E739" s="0" t="str">
        <f aca="false">RIGHT(A739,1)</f>
        <v>C</v>
      </c>
      <c r="F739" s="0" t="s">
        <v>782</v>
      </c>
      <c r="G739" s="0" t="str">
        <f aca="false">MID(D739,8,1)</f>
        <v>4</v>
      </c>
      <c r="H739" s="0" t="n">
        <v>1</v>
      </c>
    </row>
    <row r="740" customFormat="false" ht="15" hidden="false" customHeight="false" outlineLevel="0" collapsed="false">
      <c r="A740" s="0" t="s">
        <v>985</v>
      </c>
      <c r="B740" s="0" t="n">
        <v>5</v>
      </c>
      <c r="C740" s="0" t="str">
        <f aca="false">MID(A740,4,3)</f>
        <v>LAD</v>
      </c>
      <c r="D740" s="0" t="str">
        <f aca="false">LEFT(A740,20)</f>
        <v>PX-LAD-4A-2803-100-2</v>
      </c>
      <c r="E740" s="0" t="str">
        <f aca="false">RIGHT(A740,1)</f>
        <v>D</v>
      </c>
      <c r="F740" s="0" t="s">
        <v>782</v>
      </c>
      <c r="G740" s="0" t="str">
        <f aca="false">MID(D740,8,1)</f>
        <v>4</v>
      </c>
      <c r="H740" s="0" t="n">
        <v>1</v>
      </c>
    </row>
    <row r="741" customFormat="false" ht="15" hidden="false" customHeight="false" outlineLevel="0" collapsed="false">
      <c r="A741" s="0" t="s">
        <v>986</v>
      </c>
      <c r="B741" s="0" t="n">
        <v>5</v>
      </c>
      <c r="C741" s="0" t="str">
        <f aca="false">MID(A741,4,3)</f>
        <v>LAD</v>
      </c>
      <c r="D741" s="0" t="str">
        <f aca="false">LEFT(A741,20)</f>
        <v>PX-LAD-4A-2803-100-2</v>
      </c>
      <c r="E741" s="0" t="str">
        <f aca="false">RIGHT(A741,1)</f>
        <v>E</v>
      </c>
      <c r="F741" s="0" t="s">
        <v>782</v>
      </c>
      <c r="G741" s="0" t="str">
        <f aca="false">MID(D741,8,1)</f>
        <v>4</v>
      </c>
      <c r="H741" s="0" t="n">
        <v>1</v>
      </c>
    </row>
    <row r="742" customFormat="false" ht="15" hidden="false" customHeight="false" outlineLevel="0" collapsed="false">
      <c r="A742" s="0" t="s">
        <v>987</v>
      </c>
      <c r="B742" s="0" t="n">
        <v>5</v>
      </c>
      <c r="C742" s="0" t="str">
        <f aca="false">MID(A742,4,3)</f>
        <v>LAD</v>
      </c>
      <c r="D742" s="0" t="str">
        <f aca="false">CONCATENATE(LEFT(A742,15),2)</f>
        <v>PX-LAD-4A-2803-2</v>
      </c>
      <c r="E742" s="0" t="str">
        <f aca="false">MID(A742,16,3)</f>
        <v>000</v>
      </c>
      <c r="F742" s="0" t="s">
        <v>782</v>
      </c>
      <c r="G742" s="0" t="str">
        <f aca="false">MID(D742,8,1)</f>
        <v>4</v>
      </c>
      <c r="H742" s="0" t="n">
        <v>1</v>
      </c>
    </row>
    <row r="743" customFormat="false" ht="15" hidden="false" customHeight="false" outlineLevel="0" collapsed="false">
      <c r="A743" s="0" t="s">
        <v>988</v>
      </c>
      <c r="B743" s="0" t="n">
        <v>5</v>
      </c>
      <c r="C743" s="0" t="str">
        <f aca="false">MID(A743,4,3)</f>
        <v>LAD</v>
      </c>
      <c r="D743" s="0" t="str">
        <f aca="false">CONCATENATE(LEFT(A743,15),2)</f>
        <v>PX-LAD-4A-2803-2</v>
      </c>
      <c r="E743" s="0" t="str">
        <f aca="false">MID(A743,16,3)</f>
        <v>040</v>
      </c>
      <c r="F743" s="0" t="s">
        <v>782</v>
      </c>
      <c r="G743" s="0" t="str">
        <f aca="false">MID(D743,8,1)</f>
        <v>4</v>
      </c>
      <c r="H743" s="0" t="n">
        <v>1</v>
      </c>
    </row>
    <row r="744" customFormat="false" ht="15" hidden="false" customHeight="false" outlineLevel="0" collapsed="false">
      <c r="A744" s="0" t="s">
        <v>989</v>
      </c>
      <c r="B744" s="0" t="n">
        <v>5</v>
      </c>
      <c r="C744" s="0" t="str">
        <f aca="false">MID(A744,4,3)</f>
        <v>LAD</v>
      </c>
      <c r="D744" s="0" t="str">
        <f aca="false">CONCATENATE(LEFT(A744,15),2)</f>
        <v>PX-LAD-4A-2803-2</v>
      </c>
      <c r="E744" s="0" t="str">
        <f aca="false">MID(A744,16,3)</f>
        <v>070</v>
      </c>
      <c r="F744" s="0" t="s">
        <v>782</v>
      </c>
      <c r="G744" s="0" t="str">
        <f aca="false">MID(D744,8,1)</f>
        <v>4</v>
      </c>
      <c r="H744" s="0" t="n">
        <v>1</v>
      </c>
    </row>
    <row r="745" customFormat="false" ht="15" hidden="false" customHeight="false" outlineLevel="0" collapsed="false">
      <c r="A745" s="0" t="s">
        <v>990</v>
      </c>
      <c r="B745" s="0" t="n">
        <v>5</v>
      </c>
      <c r="C745" s="0" t="str">
        <f aca="false">MID(A745,4,3)</f>
        <v>LAD</v>
      </c>
      <c r="D745" s="0" t="str">
        <f aca="false">CONCATENATE(LEFT(A745,15),2)</f>
        <v>PX-LAD-4A-2803-2</v>
      </c>
      <c r="E745" s="0" t="str">
        <f aca="false">MID(A745,16,3)</f>
        <v>080</v>
      </c>
      <c r="F745" s="0" t="s">
        <v>782</v>
      </c>
      <c r="G745" s="0" t="str">
        <f aca="false">MID(D745,8,1)</f>
        <v>4</v>
      </c>
      <c r="H745" s="0" t="n">
        <v>1</v>
      </c>
    </row>
    <row r="746" customFormat="false" ht="15" hidden="false" customHeight="false" outlineLevel="0" collapsed="false">
      <c r="A746" s="0" t="s">
        <v>991</v>
      </c>
      <c r="B746" s="0" t="n">
        <v>5</v>
      </c>
      <c r="C746" s="0" t="str">
        <f aca="false">MID(A746,4,3)</f>
        <v>LAD</v>
      </c>
      <c r="D746" s="0" t="str">
        <f aca="false">CONCATENATE(LEFT(A746,15),2)</f>
        <v>PX-LAD-4A-2803-2</v>
      </c>
      <c r="E746" s="0" t="str">
        <f aca="false">MID(A746,16,3)</f>
        <v>100</v>
      </c>
      <c r="F746" s="0" t="s">
        <v>782</v>
      </c>
      <c r="G746" s="0" t="str">
        <f aca="false">MID(D746,8,1)</f>
        <v>4</v>
      </c>
      <c r="H746" s="0" t="n">
        <v>1</v>
      </c>
    </row>
    <row r="747" customFormat="false" ht="15" hidden="false" customHeight="false" outlineLevel="0" collapsed="false">
      <c r="A747" s="0" t="s">
        <v>992</v>
      </c>
      <c r="B747" s="0" t="n">
        <v>5</v>
      </c>
      <c r="C747" s="0" t="str">
        <f aca="false">MID(A747,4,3)</f>
        <v>LAD</v>
      </c>
      <c r="D747" s="0" t="str">
        <f aca="false">A747</f>
        <v>PX-LAD-4A-2804-000</v>
      </c>
      <c r="E747" s="0" t="str">
        <f aca="false">RIGHT(A747,3)</f>
        <v>000</v>
      </c>
      <c r="F747" s="0" t="s">
        <v>782</v>
      </c>
      <c r="G747" s="0" t="str">
        <f aca="false">MID(D747,8,1)</f>
        <v>4</v>
      </c>
      <c r="H747" s="0" t="n">
        <v>1</v>
      </c>
    </row>
    <row r="748" customFormat="false" ht="15" hidden="false" customHeight="false" outlineLevel="0" collapsed="false">
      <c r="A748" s="0" t="s">
        <v>993</v>
      </c>
      <c r="B748" s="0" t="n">
        <v>5</v>
      </c>
      <c r="C748" s="0" t="str">
        <f aca="false">MID(A748,4,3)</f>
        <v>LAD</v>
      </c>
      <c r="D748" s="0" t="str">
        <f aca="false">LEFT(A748,18)</f>
        <v>PX-LAD-4A-2804-000</v>
      </c>
      <c r="E748" s="0" t="str">
        <f aca="false">RIGHT(A748,1)</f>
        <v>A</v>
      </c>
      <c r="F748" s="0" t="s">
        <v>782</v>
      </c>
      <c r="G748" s="0" t="str">
        <f aca="false">MID(D748,8,1)</f>
        <v>4</v>
      </c>
      <c r="H748" s="0" t="n">
        <v>1</v>
      </c>
    </row>
    <row r="749" customFormat="false" ht="15" hidden="false" customHeight="false" outlineLevel="0" collapsed="false">
      <c r="A749" s="0" t="s">
        <v>994</v>
      </c>
      <c r="B749" s="0" t="n">
        <v>5</v>
      </c>
      <c r="C749" s="0" t="str">
        <f aca="false">MID(A749,4,3)</f>
        <v>LAD</v>
      </c>
      <c r="D749" s="0" t="str">
        <f aca="false">LEFT(A749,18)</f>
        <v>PX-LAD-4A-2804-000</v>
      </c>
      <c r="E749" s="0" t="str">
        <f aca="false">RIGHT(A749,1)</f>
        <v>B</v>
      </c>
      <c r="F749" s="0" t="s">
        <v>782</v>
      </c>
      <c r="G749" s="0" t="str">
        <f aca="false">MID(D749,8,1)</f>
        <v>4</v>
      </c>
      <c r="H749" s="0" t="n">
        <v>1</v>
      </c>
    </row>
    <row r="750" customFormat="false" ht="15" hidden="false" customHeight="false" outlineLevel="0" collapsed="false">
      <c r="A750" s="0" t="s">
        <v>995</v>
      </c>
      <c r="B750" s="0" t="n">
        <v>5</v>
      </c>
      <c r="C750" s="0" t="str">
        <f aca="false">MID(A750,4,3)</f>
        <v>LAD</v>
      </c>
      <c r="D750" s="0" t="str">
        <f aca="false">LEFT(A750,18)</f>
        <v>PX-LAD-4A-2804-000</v>
      </c>
      <c r="E750" s="0" t="str">
        <f aca="false">RIGHT(A750,1)</f>
        <v>C</v>
      </c>
      <c r="F750" s="0" t="s">
        <v>782</v>
      </c>
      <c r="G750" s="0" t="str">
        <f aca="false">MID(D750,8,1)</f>
        <v>4</v>
      </c>
      <c r="H750" s="0" t="n">
        <v>1</v>
      </c>
    </row>
    <row r="751" customFormat="false" ht="15" hidden="false" customHeight="false" outlineLevel="0" collapsed="false">
      <c r="A751" s="0" t="s">
        <v>996</v>
      </c>
      <c r="B751" s="0" t="n">
        <v>5</v>
      </c>
      <c r="C751" s="0" t="str">
        <f aca="false">MID(A751,4,3)</f>
        <v>LAD</v>
      </c>
      <c r="D751" s="0" t="str">
        <f aca="false">LEFT(A751,18)</f>
        <v>PX-LAD-4A-2804-000</v>
      </c>
      <c r="E751" s="0" t="str">
        <f aca="false">RIGHT(A751,1)</f>
        <v>D</v>
      </c>
      <c r="F751" s="0" t="s">
        <v>782</v>
      </c>
      <c r="G751" s="0" t="str">
        <f aca="false">MID(D751,8,1)</f>
        <v>4</v>
      </c>
      <c r="H751" s="0" t="n">
        <v>1</v>
      </c>
    </row>
    <row r="752" customFormat="false" ht="15" hidden="false" customHeight="false" outlineLevel="0" collapsed="false">
      <c r="A752" s="0" t="s">
        <v>997</v>
      </c>
      <c r="B752" s="0" t="n">
        <v>5</v>
      </c>
      <c r="C752" s="0" t="str">
        <f aca="false">MID(A752,4,3)</f>
        <v>LAD</v>
      </c>
      <c r="D752" s="0" t="str">
        <f aca="false">LEFT(A752,18)</f>
        <v>PX-LAD-4A-2804-000</v>
      </c>
      <c r="E752" s="0" t="str">
        <f aca="false">RIGHT(A752,1)</f>
        <v>E</v>
      </c>
      <c r="F752" s="0" t="s">
        <v>782</v>
      </c>
      <c r="G752" s="0" t="str">
        <f aca="false">MID(D752,8,1)</f>
        <v>4</v>
      </c>
      <c r="H752" s="0" t="n">
        <v>1</v>
      </c>
    </row>
    <row r="753" customFormat="false" ht="15" hidden="false" customHeight="false" outlineLevel="0" collapsed="false">
      <c r="A753" s="0" t="s">
        <v>998</v>
      </c>
      <c r="B753" s="0" t="n">
        <v>5</v>
      </c>
      <c r="C753" s="0" t="str">
        <f aca="false">MID(A753,4,3)</f>
        <v>LAD</v>
      </c>
      <c r="D753" s="0" t="str">
        <f aca="false">A753</f>
        <v>PX-LAD-4A-2804-040</v>
      </c>
      <c r="E753" s="0" t="str">
        <f aca="false">RIGHT(A753,3)</f>
        <v>040</v>
      </c>
      <c r="F753" s="0" t="s">
        <v>782</v>
      </c>
      <c r="G753" s="0" t="str">
        <f aca="false">MID(D753,8,1)</f>
        <v>4</v>
      </c>
      <c r="H753" s="0" t="n">
        <v>1</v>
      </c>
    </row>
    <row r="754" customFormat="false" ht="15" hidden="false" customHeight="false" outlineLevel="0" collapsed="false">
      <c r="A754" s="0" t="s">
        <v>999</v>
      </c>
      <c r="B754" s="0" t="n">
        <v>5</v>
      </c>
      <c r="C754" s="0" t="str">
        <f aca="false">MID(A754,4,3)</f>
        <v>LAD</v>
      </c>
      <c r="D754" s="0" t="str">
        <f aca="false">LEFT(A754,18)</f>
        <v>PX-LAD-4A-2804-040</v>
      </c>
      <c r="E754" s="0" t="str">
        <f aca="false">RIGHT(A754,1)</f>
        <v>A</v>
      </c>
      <c r="F754" s="0" t="s">
        <v>782</v>
      </c>
      <c r="G754" s="0" t="str">
        <f aca="false">MID(D754,8,1)</f>
        <v>4</v>
      </c>
      <c r="H754" s="0" t="n">
        <v>1</v>
      </c>
    </row>
    <row r="755" customFormat="false" ht="15" hidden="false" customHeight="false" outlineLevel="0" collapsed="false">
      <c r="A755" s="0" t="s">
        <v>1000</v>
      </c>
      <c r="B755" s="0" t="n">
        <v>5</v>
      </c>
      <c r="C755" s="0" t="str">
        <f aca="false">MID(A755,4,3)</f>
        <v>LAD</v>
      </c>
      <c r="D755" s="0" t="str">
        <f aca="false">LEFT(A755,18)</f>
        <v>PX-LAD-4A-2804-040</v>
      </c>
      <c r="E755" s="0" t="str">
        <f aca="false">RIGHT(A755,1)</f>
        <v>B</v>
      </c>
      <c r="F755" s="0" t="s">
        <v>782</v>
      </c>
      <c r="G755" s="0" t="str">
        <f aca="false">MID(D755,8,1)</f>
        <v>4</v>
      </c>
      <c r="H755" s="0" t="n">
        <v>1</v>
      </c>
    </row>
    <row r="756" customFormat="false" ht="15" hidden="false" customHeight="false" outlineLevel="0" collapsed="false">
      <c r="A756" s="0" t="s">
        <v>1001</v>
      </c>
      <c r="B756" s="0" t="n">
        <v>5</v>
      </c>
      <c r="C756" s="0" t="str">
        <f aca="false">MID(A756,4,3)</f>
        <v>LAD</v>
      </c>
      <c r="D756" s="0" t="str">
        <f aca="false">LEFT(A756,18)</f>
        <v>PX-LAD-4A-2804-040</v>
      </c>
      <c r="E756" s="0" t="str">
        <f aca="false">RIGHT(A756,1)</f>
        <v>C</v>
      </c>
      <c r="F756" s="0" t="s">
        <v>782</v>
      </c>
      <c r="G756" s="0" t="str">
        <f aca="false">MID(D756,8,1)</f>
        <v>4</v>
      </c>
      <c r="H756" s="0" t="n">
        <v>1</v>
      </c>
    </row>
    <row r="757" customFormat="false" ht="15" hidden="false" customHeight="false" outlineLevel="0" collapsed="false">
      <c r="A757" s="0" t="s">
        <v>1002</v>
      </c>
      <c r="B757" s="0" t="n">
        <v>5</v>
      </c>
      <c r="C757" s="0" t="str">
        <f aca="false">MID(A757,4,3)</f>
        <v>LAD</v>
      </c>
      <c r="D757" s="0" t="str">
        <f aca="false">LEFT(A757,18)</f>
        <v>PX-LAD-4A-2804-040</v>
      </c>
      <c r="E757" s="0" t="str">
        <f aca="false">RIGHT(A757,1)</f>
        <v>D</v>
      </c>
      <c r="F757" s="0" t="s">
        <v>782</v>
      </c>
      <c r="G757" s="0" t="str">
        <f aca="false">MID(D757,8,1)</f>
        <v>4</v>
      </c>
      <c r="H757" s="0" t="n">
        <v>1</v>
      </c>
    </row>
    <row r="758" customFormat="false" ht="15" hidden="false" customHeight="false" outlineLevel="0" collapsed="false">
      <c r="A758" s="0" t="s">
        <v>1003</v>
      </c>
      <c r="B758" s="0" t="n">
        <v>5</v>
      </c>
      <c r="C758" s="0" t="str">
        <f aca="false">MID(A758,4,3)</f>
        <v>LAD</v>
      </c>
      <c r="D758" s="0" t="str">
        <f aca="false">LEFT(A758,18)</f>
        <v>PX-LAD-4A-2804-040</v>
      </c>
      <c r="E758" s="0" t="str">
        <f aca="false">RIGHT(A758,1)</f>
        <v>E</v>
      </c>
      <c r="F758" s="0" t="s">
        <v>782</v>
      </c>
      <c r="G758" s="0" t="str">
        <f aca="false">MID(D758,8,1)</f>
        <v>4</v>
      </c>
      <c r="H758" s="0" t="n">
        <v>1</v>
      </c>
    </row>
    <row r="759" customFormat="false" ht="15" hidden="false" customHeight="false" outlineLevel="0" collapsed="false">
      <c r="A759" s="0" t="s">
        <v>1004</v>
      </c>
      <c r="B759" s="0" t="n">
        <v>5</v>
      </c>
      <c r="C759" s="0" t="str">
        <f aca="false">MID(A759,4,3)</f>
        <v>LAD</v>
      </c>
      <c r="D759" s="0" t="str">
        <f aca="false">A759</f>
        <v>PX-LAD-4A-2804-060</v>
      </c>
      <c r="E759" s="0" t="str">
        <f aca="false">RIGHT(A759,3)</f>
        <v>060</v>
      </c>
      <c r="F759" s="0" t="s">
        <v>782</v>
      </c>
      <c r="G759" s="0" t="str">
        <f aca="false">MID(D759,8,1)</f>
        <v>4</v>
      </c>
      <c r="H759" s="0" t="n">
        <v>1</v>
      </c>
    </row>
    <row r="760" customFormat="false" ht="15" hidden="false" customHeight="false" outlineLevel="0" collapsed="false">
      <c r="A760" s="0" t="s">
        <v>1005</v>
      </c>
      <c r="B760" s="0" t="n">
        <v>5</v>
      </c>
      <c r="C760" s="0" t="str">
        <f aca="false">MID(A760,4,3)</f>
        <v>LAD</v>
      </c>
      <c r="D760" s="0" t="str">
        <f aca="false">A760</f>
        <v>PX-LAD-4A-2804-080</v>
      </c>
      <c r="E760" s="0" t="str">
        <f aca="false">RIGHT(A760,3)</f>
        <v>080</v>
      </c>
      <c r="F760" s="0" t="s">
        <v>782</v>
      </c>
      <c r="G760" s="0" t="str">
        <f aca="false">MID(D760,8,1)</f>
        <v>4</v>
      </c>
      <c r="H760" s="0" t="n">
        <v>1</v>
      </c>
    </row>
    <row r="761" customFormat="false" ht="15" hidden="false" customHeight="false" outlineLevel="0" collapsed="false">
      <c r="A761" s="0" t="s">
        <v>1006</v>
      </c>
      <c r="B761" s="0" t="n">
        <v>5</v>
      </c>
      <c r="C761" s="0" t="str">
        <f aca="false">MID(A761,4,3)</f>
        <v>LAD</v>
      </c>
      <c r="D761" s="0" t="str">
        <f aca="false">LEFT(A761,18)</f>
        <v>PX-LAD-4A-2804-080</v>
      </c>
      <c r="E761" s="0" t="str">
        <f aca="false">RIGHT(A761,1)</f>
        <v>A</v>
      </c>
      <c r="F761" s="0" t="s">
        <v>782</v>
      </c>
      <c r="G761" s="0" t="str">
        <f aca="false">MID(D761,8,1)</f>
        <v>4</v>
      </c>
      <c r="H761" s="0" t="n">
        <v>1</v>
      </c>
    </row>
    <row r="762" customFormat="false" ht="15" hidden="false" customHeight="false" outlineLevel="0" collapsed="false">
      <c r="A762" s="0" t="s">
        <v>1007</v>
      </c>
      <c r="B762" s="0" t="n">
        <v>5</v>
      </c>
      <c r="C762" s="0" t="str">
        <f aca="false">MID(A762,4,3)</f>
        <v>LAD</v>
      </c>
      <c r="D762" s="0" t="str">
        <f aca="false">LEFT(A762,18)</f>
        <v>PX-LAD-4A-2804-080</v>
      </c>
      <c r="E762" s="0" t="str">
        <f aca="false">RIGHT(A762,1)</f>
        <v>B</v>
      </c>
      <c r="F762" s="0" t="s">
        <v>782</v>
      </c>
      <c r="G762" s="0" t="str">
        <f aca="false">MID(D762,8,1)</f>
        <v>4</v>
      </c>
      <c r="H762" s="0" t="n">
        <v>1</v>
      </c>
    </row>
    <row r="763" customFormat="false" ht="15" hidden="false" customHeight="false" outlineLevel="0" collapsed="false">
      <c r="A763" s="0" t="s">
        <v>1008</v>
      </c>
      <c r="B763" s="0" t="n">
        <v>5</v>
      </c>
      <c r="C763" s="0" t="str">
        <f aca="false">MID(A763,4,3)</f>
        <v>LAD</v>
      </c>
      <c r="D763" s="0" t="str">
        <f aca="false">LEFT(A763,18)</f>
        <v>PX-LAD-4A-2804-080</v>
      </c>
      <c r="E763" s="0" t="str">
        <f aca="false">RIGHT(A763,1)</f>
        <v>C</v>
      </c>
      <c r="F763" s="0" t="s">
        <v>782</v>
      </c>
      <c r="G763" s="0" t="str">
        <f aca="false">MID(D763,8,1)</f>
        <v>4</v>
      </c>
      <c r="H763" s="0" t="n">
        <v>1</v>
      </c>
    </row>
    <row r="764" customFormat="false" ht="15" hidden="false" customHeight="false" outlineLevel="0" collapsed="false">
      <c r="A764" s="0" t="s">
        <v>1009</v>
      </c>
      <c r="B764" s="0" t="n">
        <v>5</v>
      </c>
      <c r="C764" s="0" t="str">
        <f aca="false">MID(A764,4,3)</f>
        <v>LAD</v>
      </c>
      <c r="D764" s="0" t="str">
        <f aca="false">LEFT(A764,18)</f>
        <v>PX-LAD-4A-2804-080</v>
      </c>
      <c r="E764" s="0" t="str">
        <f aca="false">RIGHT(A764,1)</f>
        <v>D</v>
      </c>
      <c r="F764" s="0" t="s">
        <v>782</v>
      </c>
      <c r="G764" s="0" t="str">
        <f aca="false">MID(D764,8,1)</f>
        <v>4</v>
      </c>
      <c r="H764" s="0" t="n">
        <v>1</v>
      </c>
    </row>
    <row r="765" customFormat="false" ht="15" hidden="false" customHeight="false" outlineLevel="0" collapsed="false">
      <c r="A765" s="0" t="s">
        <v>1010</v>
      </c>
      <c r="B765" s="0" t="n">
        <v>5</v>
      </c>
      <c r="C765" s="0" t="str">
        <f aca="false">MID(A765,4,3)</f>
        <v>LAD</v>
      </c>
      <c r="D765" s="0" t="str">
        <f aca="false">LEFT(A765,18)</f>
        <v>PX-LAD-4A-2804-080</v>
      </c>
      <c r="E765" s="0" t="str">
        <f aca="false">RIGHT(A765,1)</f>
        <v>E</v>
      </c>
      <c r="F765" s="0" t="s">
        <v>782</v>
      </c>
      <c r="G765" s="0" t="str">
        <f aca="false">MID(D765,8,1)</f>
        <v>4</v>
      </c>
      <c r="H765" s="0" t="n">
        <v>1</v>
      </c>
    </row>
    <row r="766" customFormat="false" ht="15" hidden="false" customHeight="false" outlineLevel="0" collapsed="false">
      <c r="A766" s="0" t="s">
        <v>1011</v>
      </c>
      <c r="B766" s="0" t="n">
        <v>5</v>
      </c>
      <c r="C766" s="0" t="str">
        <f aca="false">MID(A766,4,3)</f>
        <v>LAD</v>
      </c>
      <c r="D766" s="0" t="str">
        <f aca="false">A766</f>
        <v>PX-LAD-4A-2804-100</v>
      </c>
      <c r="E766" s="0" t="str">
        <f aca="false">RIGHT(A766,3)</f>
        <v>100</v>
      </c>
      <c r="F766" s="0" t="s">
        <v>782</v>
      </c>
      <c r="G766" s="0" t="str">
        <f aca="false">MID(D766,8,1)</f>
        <v>4</v>
      </c>
      <c r="H766" s="0" t="n">
        <v>1</v>
      </c>
    </row>
    <row r="767" customFormat="false" ht="15" hidden="false" customHeight="false" outlineLevel="0" collapsed="false">
      <c r="A767" s="0" t="s">
        <v>1012</v>
      </c>
      <c r="B767" s="0" t="n">
        <v>5</v>
      </c>
      <c r="C767" s="0" t="str">
        <f aca="false">MID(A767,4,3)</f>
        <v>LAD</v>
      </c>
      <c r="D767" s="0" t="str">
        <f aca="false">LEFT(A767,18)</f>
        <v>PX-LAD-4A-2804-100</v>
      </c>
      <c r="E767" s="0" t="str">
        <f aca="false">RIGHT(A767,1)</f>
        <v>A</v>
      </c>
      <c r="F767" s="0" t="s">
        <v>782</v>
      </c>
      <c r="G767" s="0" t="str">
        <f aca="false">MID(D767,8,1)</f>
        <v>4</v>
      </c>
      <c r="H767" s="0" t="n">
        <v>1</v>
      </c>
    </row>
    <row r="768" customFormat="false" ht="15" hidden="false" customHeight="false" outlineLevel="0" collapsed="false">
      <c r="A768" s="0" t="s">
        <v>1013</v>
      </c>
      <c r="B768" s="0" t="n">
        <v>5</v>
      </c>
      <c r="C768" s="0" t="str">
        <f aca="false">MID(A768,4,3)</f>
        <v>LAD</v>
      </c>
      <c r="D768" s="0" t="str">
        <f aca="false">LEFT(A768,18)</f>
        <v>PX-LAD-4A-2804-100</v>
      </c>
      <c r="E768" s="0" t="str">
        <f aca="false">RIGHT(A768,1)</f>
        <v>B</v>
      </c>
      <c r="F768" s="0" t="s">
        <v>782</v>
      </c>
      <c r="G768" s="0" t="str">
        <f aca="false">MID(D768,8,1)</f>
        <v>4</v>
      </c>
      <c r="H768" s="0" t="n">
        <v>1</v>
      </c>
    </row>
    <row r="769" customFormat="false" ht="15" hidden="false" customHeight="false" outlineLevel="0" collapsed="false">
      <c r="A769" s="0" t="s">
        <v>1014</v>
      </c>
      <c r="B769" s="0" t="n">
        <v>5</v>
      </c>
      <c r="C769" s="0" t="str">
        <f aca="false">MID(A769,4,3)</f>
        <v>LAD</v>
      </c>
      <c r="D769" s="0" t="str">
        <f aca="false">LEFT(A769,18)</f>
        <v>PX-LAD-4A-2804-100</v>
      </c>
      <c r="E769" s="0" t="str">
        <f aca="false">RIGHT(A769,1)</f>
        <v>C</v>
      </c>
      <c r="F769" s="0" t="s">
        <v>782</v>
      </c>
      <c r="G769" s="0" t="str">
        <f aca="false">MID(D769,8,1)</f>
        <v>4</v>
      </c>
      <c r="H769" s="0" t="n">
        <v>1</v>
      </c>
    </row>
    <row r="770" customFormat="false" ht="15" hidden="false" customHeight="false" outlineLevel="0" collapsed="false">
      <c r="A770" s="0" t="s">
        <v>1015</v>
      </c>
      <c r="B770" s="0" t="n">
        <v>5</v>
      </c>
      <c r="C770" s="0" t="str">
        <f aca="false">MID(A770,4,3)</f>
        <v>LAD</v>
      </c>
      <c r="D770" s="0" t="str">
        <f aca="false">LEFT(A770,18)</f>
        <v>PX-LAD-4A-2804-100</v>
      </c>
      <c r="E770" s="0" t="str">
        <f aca="false">RIGHT(A770,1)</f>
        <v>D</v>
      </c>
      <c r="F770" s="0" t="s">
        <v>782</v>
      </c>
      <c r="G770" s="0" t="str">
        <f aca="false">MID(D770,8,1)</f>
        <v>4</v>
      </c>
      <c r="H770" s="0" t="n">
        <v>1</v>
      </c>
    </row>
    <row r="771" customFormat="false" ht="15" hidden="false" customHeight="false" outlineLevel="0" collapsed="false">
      <c r="A771" s="0" t="s">
        <v>1016</v>
      </c>
      <c r="B771" s="0" t="n">
        <v>5</v>
      </c>
      <c r="C771" s="0" t="str">
        <f aca="false">MID(A771,4,3)</f>
        <v>LAD</v>
      </c>
      <c r="D771" s="0" t="str">
        <f aca="false">LEFT(A771,18)</f>
        <v>PX-LAD-4A-2804-100</v>
      </c>
      <c r="E771" s="0" t="str">
        <f aca="false">RIGHT(A771,1)</f>
        <v>E</v>
      </c>
      <c r="F771" s="0" t="s">
        <v>782</v>
      </c>
      <c r="G771" s="0" t="str">
        <f aca="false">MID(D771,8,1)</f>
        <v>4</v>
      </c>
      <c r="H771" s="0" t="n">
        <v>1</v>
      </c>
    </row>
    <row r="772" customFormat="false" ht="15" hidden="false" customHeight="false" outlineLevel="0" collapsed="false">
      <c r="A772" s="0" t="s">
        <v>1017</v>
      </c>
      <c r="B772" s="0" t="n">
        <v>5</v>
      </c>
      <c r="C772" s="0" t="str">
        <f aca="false">MID(A772,4,3)</f>
        <v>LAD</v>
      </c>
      <c r="D772" s="0" t="str">
        <f aca="false">A772</f>
        <v>PX-LAD-4A-2805-000</v>
      </c>
      <c r="E772" s="0" t="str">
        <f aca="false">RIGHT(A772,3)</f>
        <v>000</v>
      </c>
      <c r="F772" s="0" t="s">
        <v>782</v>
      </c>
      <c r="G772" s="0" t="str">
        <f aca="false">MID(D772,8,1)</f>
        <v>4</v>
      </c>
      <c r="H772" s="0" t="n">
        <v>1</v>
      </c>
    </row>
    <row r="773" customFormat="false" ht="15" hidden="false" customHeight="false" outlineLevel="0" collapsed="false">
      <c r="A773" s="0" t="s">
        <v>1018</v>
      </c>
      <c r="B773" s="0" t="n">
        <v>5</v>
      </c>
      <c r="C773" s="0" t="str">
        <f aca="false">MID(A773,4,3)</f>
        <v>LAD</v>
      </c>
      <c r="D773" s="0" t="str">
        <f aca="false">LEFT(A773,18)</f>
        <v>PX-LAD-4A-2805-000</v>
      </c>
      <c r="E773" s="0" t="str">
        <f aca="false">RIGHT(A773,1)</f>
        <v>A</v>
      </c>
      <c r="F773" s="0" t="s">
        <v>782</v>
      </c>
      <c r="G773" s="0" t="str">
        <f aca="false">MID(D773,8,1)</f>
        <v>4</v>
      </c>
      <c r="H773" s="0" t="n">
        <v>1</v>
      </c>
    </row>
    <row r="774" customFormat="false" ht="15" hidden="false" customHeight="false" outlineLevel="0" collapsed="false">
      <c r="A774" s="0" t="s">
        <v>1019</v>
      </c>
      <c r="B774" s="0" t="n">
        <v>5</v>
      </c>
      <c r="C774" s="0" t="str">
        <f aca="false">MID(A774,4,3)</f>
        <v>LAD</v>
      </c>
      <c r="D774" s="0" t="str">
        <f aca="false">LEFT(A774,18)</f>
        <v>PX-LAD-4A-2805-000</v>
      </c>
      <c r="E774" s="0" t="str">
        <f aca="false">RIGHT(A774,1)</f>
        <v>B</v>
      </c>
      <c r="F774" s="0" t="s">
        <v>782</v>
      </c>
      <c r="G774" s="0" t="str">
        <f aca="false">MID(D774,8,1)</f>
        <v>4</v>
      </c>
      <c r="H774" s="0" t="n">
        <v>1</v>
      </c>
    </row>
    <row r="775" customFormat="false" ht="15" hidden="false" customHeight="false" outlineLevel="0" collapsed="false">
      <c r="A775" s="0" t="s">
        <v>1020</v>
      </c>
      <c r="B775" s="0" t="n">
        <v>5</v>
      </c>
      <c r="C775" s="0" t="str">
        <f aca="false">MID(A775,4,3)</f>
        <v>LAD</v>
      </c>
      <c r="D775" s="0" t="str">
        <f aca="false">LEFT(A775,18)</f>
        <v>PX-LAD-4A-2805-000</v>
      </c>
      <c r="E775" s="0" t="str">
        <f aca="false">RIGHT(A775,1)</f>
        <v>C</v>
      </c>
      <c r="F775" s="0" t="s">
        <v>782</v>
      </c>
      <c r="G775" s="0" t="str">
        <f aca="false">MID(D775,8,1)</f>
        <v>4</v>
      </c>
      <c r="H775" s="0" t="n">
        <v>1</v>
      </c>
    </row>
    <row r="776" customFormat="false" ht="15" hidden="false" customHeight="false" outlineLevel="0" collapsed="false">
      <c r="A776" s="0" t="s">
        <v>1021</v>
      </c>
      <c r="B776" s="0" t="n">
        <v>5</v>
      </c>
      <c r="C776" s="0" t="str">
        <f aca="false">MID(A776,4,3)</f>
        <v>LAD</v>
      </c>
      <c r="D776" s="0" t="str">
        <f aca="false">LEFT(A776,18)</f>
        <v>PX-LAD-4A-2805-000</v>
      </c>
      <c r="E776" s="0" t="str">
        <f aca="false">RIGHT(A776,1)</f>
        <v>D</v>
      </c>
      <c r="F776" s="0" t="s">
        <v>782</v>
      </c>
      <c r="G776" s="0" t="str">
        <f aca="false">MID(D776,8,1)</f>
        <v>4</v>
      </c>
      <c r="H776" s="0" t="n">
        <v>1</v>
      </c>
    </row>
    <row r="777" customFormat="false" ht="15" hidden="false" customHeight="false" outlineLevel="0" collapsed="false">
      <c r="A777" s="0" t="s">
        <v>1022</v>
      </c>
      <c r="B777" s="0" t="n">
        <v>5</v>
      </c>
      <c r="C777" s="0" t="str">
        <f aca="false">MID(A777,4,3)</f>
        <v>LAD</v>
      </c>
      <c r="D777" s="0" t="str">
        <f aca="false">LEFT(A777,18)</f>
        <v>PX-LAD-4A-2805-000</v>
      </c>
      <c r="E777" s="0" t="str">
        <f aca="false">RIGHT(A777,1)</f>
        <v>E</v>
      </c>
      <c r="F777" s="0" t="s">
        <v>782</v>
      </c>
      <c r="G777" s="0" t="str">
        <f aca="false">MID(D777,8,1)</f>
        <v>4</v>
      </c>
      <c r="H777" s="0" t="n">
        <v>1</v>
      </c>
    </row>
    <row r="778" customFormat="false" ht="15" hidden="false" customHeight="false" outlineLevel="0" collapsed="false">
      <c r="A778" s="0" t="s">
        <v>1023</v>
      </c>
      <c r="B778" s="0" t="n">
        <v>5</v>
      </c>
      <c r="C778" s="0" t="str">
        <f aca="false">MID(A778,4,3)</f>
        <v>LAD</v>
      </c>
      <c r="D778" s="0" t="str">
        <f aca="false">A778</f>
        <v>PX-LAD-4A-2805-025</v>
      </c>
      <c r="E778" s="0" t="str">
        <f aca="false">RIGHT(A778,3)</f>
        <v>025</v>
      </c>
      <c r="F778" s="0" t="s">
        <v>782</v>
      </c>
      <c r="G778" s="0" t="str">
        <f aca="false">MID(D778,8,1)</f>
        <v>4</v>
      </c>
      <c r="H778" s="0" t="n">
        <v>1</v>
      </c>
    </row>
    <row r="779" customFormat="false" ht="15" hidden="false" customHeight="false" outlineLevel="0" collapsed="false">
      <c r="A779" s="0" t="s">
        <v>1024</v>
      </c>
      <c r="B779" s="0" t="n">
        <v>5</v>
      </c>
      <c r="C779" s="0" t="str">
        <f aca="false">MID(A779,4,3)</f>
        <v>LAD</v>
      </c>
      <c r="D779" s="0" t="str">
        <f aca="false">LEFT(A779,18)</f>
        <v>PX-LAD-4A-2805-025</v>
      </c>
      <c r="E779" s="0" t="str">
        <f aca="false">RIGHT(A779,1)</f>
        <v>A</v>
      </c>
      <c r="F779" s="0" t="s">
        <v>782</v>
      </c>
      <c r="G779" s="0" t="str">
        <f aca="false">MID(D779,8,1)</f>
        <v>4</v>
      </c>
      <c r="H779" s="0" t="n">
        <v>1</v>
      </c>
    </row>
    <row r="780" customFormat="false" ht="15" hidden="false" customHeight="false" outlineLevel="0" collapsed="false">
      <c r="A780" s="0" t="s">
        <v>1025</v>
      </c>
      <c r="B780" s="0" t="n">
        <v>5</v>
      </c>
      <c r="C780" s="0" t="str">
        <f aca="false">MID(A780,4,3)</f>
        <v>LAD</v>
      </c>
      <c r="D780" s="0" t="str">
        <f aca="false">LEFT(A780,18)</f>
        <v>PX-LAD-4A-2805-025</v>
      </c>
      <c r="E780" s="0" t="str">
        <f aca="false">RIGHT(A780,1)</f>
        <v>B</v>
      </c>
      <c r="F780" s="0" t="s">
        <v>782</v>
      </c>
      <c r="G780" s="0" t="str">
        <f aca="false">MID(D780,8,1)</f>
        <v>4</v>
      </c>
      <c r="H780" s="0" t="n">
        <v>1</v>
      </c>
    </row>
    <row r="781" customFormat="false" ht="15" hidden="false" customHeight="false" outlineLevel="0" collapsed="false">
      <c r="A781" s="0" t="s">
        <v>1026</v>
      </c>
      <c r="B781" s="0" t="n">
        <v>5</v>
      </c>
      <c r="C781" s="0" t="str">
        <f aca="false">MID(A781,4,3)</f>
        <v>LAD</v>
      </c>
      <c r="D781" s="0" t="str">
        <f aca="false">LEFT(A781,18)</f>
        <v>PX-LAD-4A-2805-025</v>
      </c>
      <c r="E781" s="0" t="str">
        <f aca="false">RIGHT(A781,1)</f>
        <v>C</v>
      </c>
      <c r="F781" s="0" t="s">
        <v>782</v>
      </c>
      <c r="G781" s="0" t="str">
        <f aca="false">MID(D781,8,1)</f>
        <v>4</v>
      </c>
      <c r="H781" s="0" t="n">
        <v>1</v>
      </c>
    </row>
    <row r="782" customFormat="false" ht="15" hidden="false" customHeight="false" outlineLevel="0" collapsed="false">
      <c r="A782" s="0" t="s">
        <v>1027</v>
      </c>
      <c r="B782" s="0" t="n">
        <v>5</v>
      </c>
      <c r="C782" s="0" t="str">
        <f aca="false">MID(A782,4,3)</f>
        <v>LAD</v>
      </c>
      <c r="D782" s="0" t="str">
        <f aca="false">LEFT(A782,18)</f>
        <v>PX-LAD-4A-2805-025</v>
      </c>
      <c r="E782" s="0" t="str">
        <f aca="false">RIGHT(A782,1)</f>
        <v>D</v>
      </c>
      <c r="F782" s="0" t="s">
        <v>782</v>
      </c>
      <c r="G782" s="0" t="str">
        <f aca="false">MID(D782,8,1)</f>
        <v>4</v>
      </c>
      <c r="H782" s="0" t="n">
        <v>1</v>
      </c>
    </row>
    <row r="783" customFormat="false" ht="15" hidden="false" customHeight="false" outlineLevel="0" collapsed="false">
      <c r="A783" s="0" t="s">
        <v>1028</v>
      </c>
      <c r="B783" s="0" t="n">
        <v>5</v>
      </c>
      <c r="C783" s="0" t="str">
        <f aca="false">MID(A783,4,3)</f>
        <v>LAD</v>
      </c>
      <c r="D783" s="0" t="str">
        <f aca="false">LEFT(A783,18)</f>
        <v>PX-LAD-4A-2805-025</v>
      </c>
      <c r="E783" s="0" t="str">
        <f aca="false">RIGHT(A783,1)</f>
        <v>E</v>
      </c>
      <c r="F783" s="0" t="s">
        <v>782</v>
      </c>
      <c r="G783" s="0" t="str">
        <f aca="false">MID(D783,8,1)</f>
        <v>4</v>
      </c>
      <c r="H783" s="0" t="n">
        <v>1</v>
      </c>
    </row>
    <row r="784" customFormat="false" ht="15" hidden="false" customHeight="false" outlineLevel="0" collapsed="false">
      <c r="A784" s="0" t="s">
        <v>1029</v>
      </c>
      <c r="B784" s="0" t="n">
        <v>5</v>
      </c>
      <c r="C784" s="0" t="str">
        <f aca="false">MID(A784,4,3)</f>
        <v>LAD</v>
      </c>
      <c r="D784" s="0" t="str">
        <f aca="false">A784</f>
        <v>PX-LAD-4A-2805-050</v>
      </c>
      <c r="E784" s="0" t="str">
        <f aca="false">RIGHT(A784,3)</f>
        <v>050</v>
      </c>
      <c r="F784" s="0" t="s">
        <v>782</v>
      </c>
      <c r="G784" s="0" t="str">
        <f aca="false">MID(D784,8,1)</f>
        <v>4</v>
      </c>
      <c r="H784" s="0" t="n">
        <v>1</v>
      </c>
    </row>
    <row r="785" customFormat="false" ht="15" hidden="false" customHeight="false" outlineLevel="0" collapsed="false">
      <c r="A785" s="0" t="s">
        <v>1030</v>
      </c>
      <c r="B785" s="0" t="n">
        <v>5</v>
      </c>
      <c r="C785" s="0" t="str">
        <f aca="false">MID(A785,4,3)</f>
        <v>LAD</v>
      </c>
      <c r="D785" s="0" t="str">
        <f aca="false">LEFT(A785,18)</f>
        <v>PX-LAD-4A-2805-050</v>
      </c>
      <c r="E785" s="0" t="str">
        <f aca="false">RIGHT(A785,1)</f>
        <v>A</v>
      </c>
      <c r="F785" s="0" t="s">
        <v>782</v>
      </c>
      <c r="G785" s="0" t="str">
        <f aca="false">MID(D785,8,1)</f>
        <v>4</v>
      </c>
      <c r="H785" s="0" t="n">
        <v>1</v>
      </c>
    </row>
    <row r="786" customFormat="false" ht="15" hidden="false" customHeight="false" outlineLevel="0" collapsed="false">
      <c r="A786" s="0" t="s">
        <v>1031</v>
      </c>
      <c r="B786" s="0" t="n">
        <v>5</v>
      </c>
      <c r="C786" s="0" t="str">
        <f aca="false">MID(A786,4,3)</f>
        <v>LAD</v>
      </c>
      <c r="D786" s="0" t="str">
        <f aca="false">LEFT(A786,18)</f>
        <v>PX-LAD-4A-2805-050</v>
      </c>
      <c r="E786" s="0" t="str">
        <f aca="false">RIGHT(A786,1)</f>
        <v>B</v>
      </c>
      <c r="F786" s="0" t="s">
        <v>782</v>
      </c>
      <c r="G786" s="0" t="str">
        <f aca="false">MID(D786,8,1)</f>
        <v>4</v>
      </c>
      <c r="H786" s="0" t="n">
        <v>1</v>
      </c>
    </row>
    <row r="787" customFormat="false" ht="15" hidden="false" customHeight="false" outlineLevel="0" collapsed="false">
      <c r="A787" s="0" t="s">
        <v>1032</v>
      </c>
      <c r="B787" s="0" t="n">
        <v>5</v>
      </c>
      <c r="C787" s="0" t="str">
        <f aca="false">MID(A787,4,3)</f>
        <v>LAD</v>
      </c>
      <c r="D787" s="0" t="str">
        <f aca="false">LEFT(A787,18)</f>
        <v>PX-LAD-4A-2805-050</v>
      </c>
      <c r="E787" s="0" t="str">
        <f aca="false">RIGHT(A787,1)</f>
        <v>C</v>
      </c>
      <c r="F787" s="0" t="s">
        <v>782</v>
      </c>
      <c r="G787" s="0" t="str">
        <f aca="false">MID(D787,8,1)</f>
        <v>4</v>
      </c>
      <c r="H787" s="0" t="n">
        <v>1</v>
      </c>
    </row>
    <row r="788" customFormat="false" ht="15" hidden="false" customHeight="false" outlineLevel="0" collapsed="false">
      <c r="A788" s="0" t="s">
        <v>1033</v>
      </c>
      <c r="B788" s="0" t="n">
        <v>5</v>
      </c>
      <c r="C788" s="0" t="str">
        <f aca="false">MID(A788,4,3)</f>
        <v>LAD</v>
      </c>
      <c r="D788" s="0" t="str">
        <f aca="false">LEFT(A788,18)</f>
        <v>PX-LAD-4A-2805-050</v>
      </c>
      <c r="E788" s="0" t="str">
        <f aca="false">RIGHT(A788,1)</f>
        <v>D</v>
      </c>
      <c r="F788" s="0" t="s">
        <v>782</v>
      </c>
      <c r="G788" s="0" t="str">
        <f aca="false">MID(D788,8,1)</f>
        <v>4</v>
      </c>
      <c r="H788" s="0" t="n">
        <v>1</v>
      </c>
    </row>
    <row r="789" customFormat="false" ht="15" hidden="false" customHeight="false" outlineLevel="0" collapsed="false">
      <c r="A789" s="0" t="s">
        <v>1034</v>
      </c>
      <c r="B789" s="0" t="n">
        <v>5</v>
      </c>
      <c r="C789" s="0" t="str">
        <f aca="false">MID(A789,4,3)</f>
        <v>LAD</v>
      </c>
      <c r="D789" s="0" t="str">
        <f aca="false">LEFT(A789,18)</f>
        <v>PX-LAD-4A-2805-050</v>
      </c>
      <c r="E789" s="0" t="str">
        <f aca="false">RIGHT(A789,1)</f>
        <v>E</v>
      </c>
      <c r="F789" s="0" t="s">
        <v>782</v>
      </c>
      <c r="G789" s="0" t="str">
        <f aca="false">MID(D789,8,1)</f>
        <v>4</v>
      </c>
      <c r="H789" s="0" t="n">
        <v>1</v>
      </c>
    </row>
    <row r="790" customFormat="false" ht="15" hidden="false" customHeight="false" outlineLevel="0" collapsed="false">
      <c r="A790" s="0" t="s">
        <v>1035</v>
      </c>
      <c r="B790" s="0" t="n">
        <v>5</v>
      </c>
      <c r="C790" s="0" t="str">
        <f aca="false">MID(A790,4,3)</f>
        <v>LAD</v>
      </c>
      <c r="D790" s="0" t="str">
        <f aca="false">A790</f>
        <v>PX-LAD-4A-2805-075</v>
      </c>
      <c r="E790" s="0" t="str">
        <f aca="false">RIGHT(A790,3)</f>
        <v>075</v>
      </c>
      <c r="F790" s="0" t="s">
        <v>782</v>
      </c>
      <c r="G790" s="0" t="str">
        <f aca="false">MID(D790,8,1)</f>
        <v>4</v>
      </c>
      <c r="H790" s="0" t="n">
        <v>1</v>
      </c>
    </row>
    <row r="791" customFormat="false" ht="15" hidden="false" customHeight="false" outlineLevel="0" collapsed="false">
      <c r="A791" s="0" t="s">
        <v>1036</v>
      </c>
      <c r="B791" s="0" t="n">
        <v>5</v>
      </c>
      <c r="C791" s="0" t="str">
        <f aca="false">MID(A791,4,3)</f>
        <v>LAD</v>
      </c>
      <c r="D791" s="0" t="str">
        <f aca="false">LEFT(A791,18)</f>
        <v>PX-LAD-4A-2805-075</v>
      </c>
      <c r="E791" s="0" t="str">
        <f aca="false">RIGHT(A791,1)</f>
        <v>A</v>
      </c>
      <c r="F791" s="0" t="s">
        <v>782</v>
      </c>
      <c r="G791" s="0" t="str">
        <f aca="false">MID(D791,8,1)</f>
        <v>4</v>
      </c>
      <c r="H791" s="0" t="n">
        <v>1</v>
      </c>
    </row>
    <row r="792" customFormat="false" ht="15" hidden="false" customHeight="false" outlineLevel="0" collapsed="false">
      <c r="A792" s="0" t="s">
        <v>1037</v>
      </c>
      <c r="B792" s="0" t="n">
        <v>5</v>
      </c>
      <c r="C792" s="0" t="str">
        <f aca="false">MID(A792,4,3)</f>
        <v>LAD</v>
      </c>
      <c r="D792" s="0" t="str">
        <f aca="false">LEFT(A792,18)</f>
        <v>PX-LAD-4A-2805-075</v>
      </c>
      <c r="E792" s="0" t="str">
        <f aca="false">RIGHT(A792,1)</f>
        <v>B</v>
      </c>
      <c r="F792" s="0" t="s">
        <v>782</v>
      </c>
      <c r="G792" s="0" t="str">
        <f aca="false">MID(D792,8,1)</f>
        <v>4</v>
      </c>
      <c r="H792" s="0" t="n">
        <v>1</v>
      </c>
    </row>
    <row r="793" customFormat="false" ht="15" hidden="false" customHeight="false" outlineLevel="0" collapsed="false">
      <c r="A793" s="0" t="s">
        <v>1038</v>
      </c>
      <c r="B793" s="0" t="n">
        <v>5</v>
      </c>
      <c r="C793" s="0" t="str">
        <f aca="false">MID(A793,4,3)</f>
        <v>LAD</v>
      </c>
      <c r="D793" s="0" t="str">
        <f aca="false">LEFT(A793,18)</f>
        <v>PX-LAD-4A-2805-075</v>
      </c>
      <c r="E793" s="0" t="str">
        <f aca="false">RIGHT(A793,1)</f>
        <v>C</v>
      </c>
      <c r="F793" s="0" t="s">
        <v>782</v>
      </c>
      <c r="G793" s="0" t="str">
        <f aca="false">MID(D793,8,1)</f>
        <v>4</v>
      </c>
      <c r="H793" s="0" t="n">
        <v>1</v>
      </c>
    </row>
    <row r="794" customFormat="false" ht="15" hidden="false" customHeight="false" outlineLevel="0" collapsed="false">
      <c r="A794" s="0" t="s">
        <v>1039</v>
      </c>
      <c r="B794" s="0" t="n">
        <v>5</v>
      </c>
      <c r="C794" s="0" t="str">
        <f aca="false">MID(A794,4,3)</f>
        <v>LAD</v>
      </c>
      <c r="D794" s="0" t="str">
        <f aca="false">LEFT(A794,18)</f>
        <v>PX-LAD-4A-2805-075</v>
      </c>
      <c r="E794" s="0" t="str">
        <f aca="false">RIGHT(A794,1)</f>
        <v>D</v>
      </c>
      <c r="F794" s="0" t="s">
        <v>782</v>
      </c>
      <c r="G794" s="0" t="str">
        <f aca="false">MID(D794,8,1)</f>
        <v>4</v>
      </c>
      <c r="H794" s="0" t="n">
        <v>1</v>
      </c>
    </row>
    <row r="795" customFormat="false" ht="15" hidden="false" customHeight="false" outlineLevel="0" collapsed="false">
      <c r="A795" s="0" t="s">
        <v>1040</v>
      </c>
      <c r="B795" s="0" t="n">
        <v>5</v>
      </c>
      <c r="C795" s="0" t="str">
        <f aca="false">MID(A795,4,3)</f>
        <v>LAD</v>
      </c>
      <c r="D795" s="0" t="str">
        <f aca="false">LEFT(A795,18)</f>
        <v>PX-LAD-4A-2805-075</v>
      </c>
      <c r="E795" s="0" t="str">
        <f aca="false">RIGHT(A795,1)</f>
        <v>E</v>
      </c>
      <c r="F795" s="0" t="s">
        <v>782</v>
      </c>
      <c r="G795" s="0" t="str">
        <f aca="false">MID(D795,8,1)</f>
        <v>4</v>
      </c>
      <c r="H795" s="0" t="n">
        <v>1</v>
      </c>
    </row>
    <row r="796" customFormat="false" ht="15" hidden="false" customHeight="false" outlineLevel="0" collapsed="false">
      <c r="A796" s="0" t="s">
        <v>1041</v>
      </c>
      <c r="B796" s="0" t="n">
        <v>5</v>
      </c>
      <c r="C796" s="0" t="str">
        <f aca="false">MID(A796,4,3)</f>
        <v>LAD</v>
      </c>
      <c r="D796" s="0" t="str">
        <f aca="false">A796</f>
        <v>PX-LAD-4A-2805-100</v>
      </c>
      <c r="E796" s="0" t="str">
        <f aca="false">RIGHT(A796,3)</f>
        <v>100</v>
      </c>
      <c r="F796" s="0" t="s">
        <v>782</v>
      </c>
      <c r="G796" s="0" t="str">
        <f aca="false">MID(D796,8,1)</f>
        <v>4</v>
      </c>
      <c r="H796" s="0" t="n">
        <v>1</v>
      </c>
    </row>
    <row r="797" customFormat="false" ht="15" hidden="false" customHeight="false" outlineLevel="0" collapsed="false">
      <c r="A797" s="0" t="s">
        <v>1042</v>
      </c>
      <c r="B797" s="0" t="n">
        <v>5</v>
      </c>
      <c r="C797" s="0" t="str">
        <f aca="false">MID(A797,4,3)</f>
        <v>LAD</v>
      </c>
      <c r="D797" s="0" t="str">
        <f aca="false">LEFT(A797,18)</f>
        <v>PX-LAD-4A-2805-100</v>
      </c>
      <c r="E797" s="0" t="str">
        <f aca="false">RIGHT(A797,1)</f>
        <v>A</v>
      </c>
      <c r="F797" s="0" t="s">
        <v>782</v>
      </c>
      <c r="G797" s="0" t="str">
        <f aca="false">MID(D797,8,1)</f>
        <v>4</v>
      </c>
      <c r="H797" s="0" t="n">
        <v>1</v>
      </c>
    </row>
    <row r="798" customFormat="false" ht="15" hidden="false" customHeight="false" outlineLevel="0" collapsed="false">
      <c r="A798" s="0" t="s">
        <v>1043</v>
      </c>
      <c r="B798" s="0" t="n">
        <v>5</v>
      </c>
      <c r="C798" s="0" t="str">
        <f aca="false">MID(A798,4,3)</f>
        <v>LAD</v>
      </c>
      <c r="D798" s="0" t="str">
        <f aca="false">LEFT(A798,18)</f>
        <v>PX-LAD-4A-2805-100</v>
      </c>
      <c r="E798" s="0" t="str">
        <f aca="false">RIGHT(A798,1)</f>
        <v>B</v>
      </c>
      <c r="F798" s="0" t="s">
        <v>782</v>
      </c>
      <c r="G798" s="0" t="str">
        <f aca="false">MID(D798,8,1)</f>
        <v>4</v>
      </c>
      <c r="H798" s="0" t="n">
        <v>1</v>
      </c>
    </row>
    <row r="799" customFormat="false" ht="15" hidden="false" customHeight="false" outlineLevel="0" collapsed="false">
      <c r="A799" s="0" t="s">
        <v>1044</v>
      </c>
      <c r="B799" s="0" t="n">
        <v>5</v>
      </c>
      <c r="C799" s="0" t="str">
        <f aca="false">MID(A799,4,3)</f>
        <v>LAD</v>
      </c>
      <c r="D799" s="0" t="str">
        <f aca="false">LEFT(A799,18)</f>
        <v>PX-LAD-4A-2805-100</v>
      </c>
      <c r="E799" s="0" t="str">
        <f aca="false">RIGHT(A799,1)</f>
        <v>C</v>
      </c>
      <c r="F799" s="0" t="s">
        <v>782</v>
      </c>
      <c r="G799" s="0" t="str">
        <f aca="false">MID(D799,8,1)</f>
        <v>4</v>
      </c>
      <c r="H799" s="0" t="n">
        <v>1</v>
      </c>
    </row>
    <row r="800" customFormat="false" ht="15" hidden="false" customHeight="false" outlineLevel="0" collapsed="false">
      <c r="A800" s="0" t="s">
        <v>1045</v>
      </c>
      <c r="B800" s="0" t="n">
        <v>5</v>
      </c>
      <c r="C800" s="0" t="str">
        <f aca="false">MID(A800,4,3)</f>
        <v>LAD</v>
      </c>
      <c r="D800" s="0" t="str">
        <f aca="false">LEFT(A800,18)</f>
        <v>PX-LAD-4A-2805-100</v>
      </c>
      <c r="E800" s="0" t="str">
        <f aca="false">RIGHT(A800,1)</f>
        <v>D</v>
      </c>
      <c r="F800" s="0" t="s">
        <v>782</v>
      </c>
      <c r="G800" s="0" t="str">
        <f aca="false">MID(D800,8,1)</f>
        <v>4</v>
      </c>
      <c r="H800" s="0" t="n">
        <v>1</v>
      </c>
    </row>
    <row r="801" customFormat="false" ht="15" hidden="false" customHeight="false" outlineLevel="0" collapsed="false">
      <c r="A801" s="0" t="s">
        <v>1046</v>
      </c>
      <c r="B801" s="0" t="n">
        <v>5</v>
      </c>
      <c r="C801" s="0" t="str">
        <f aca="false">MID(A801,4,3)</f>
        <v>LAD</v>
      </c>
      <c r="D801" s="0" t="str">
        <f aca="false">LEFT(A801,18)</f>
        <v>PX-LAD-4A-2805-100</v>
      </c>
      <c r="E801" s="0" t="str">
        <f aca="false">RIGHT(A801,1)</f>
        <v>E</v>
      </c>
      <c r="F801" s="0" t="s">
        <v>782</v>
      </c>
      <c r="G801" s="0" t="str">
        <f aca="false">MID(D801,8,1)</f>
        <v>4</v>
      </c>
      <c r="H801" s="0" t="n">
        <v>1</v>
      </c>
    </row>
    <row r="802" customFormat="false" ht="15" hidden="false" customHeight="false" outlineLevel="0" collapsed="false">
      <c r="A802" s="0" t="s">
        <v>1047</v>
      </c>
      <c r="B802" s="0" t="n">
        <v>5</v>
      </c>
      <c r="C802" s="0" t="str">
        <f aca="false">MID(A802,4,3)</f>
        <v>LAD</v>
      </c>
      <c r="D802" s="0" t="str">
        <f aca="false">A802</f>
        <v>PX-LAD-4A-2806-000</v>
      </c>
      <c r="E802" s="0" t="str">
        <f aca="false">RIGHT(A802,3)</f>
        <v>000</v>
      </c>
      <c r="F802" s="0" t="s">
        <v>782</v>
      </c>
      <c r="G802" s="0" t="str">
        <f aca="false">MID(D802,8,1)</f>
        <v>4</v>
      </c>
      <c r="H802" s="0" t="n">
        <v>1</v>
      </c>
    </row>
    <row r="803" customFormat="false" ht="15" hidden="false" customHeight="false" outlineLevel="0" collapsed="false">
      <c r="A803" s="0" t="s">
        <v>1048</v>
      </c>
      <c r="B803" s="0" t="n">
        <v>5</v>
      </c>
      <c r="C803" s="0" t="str">
        <f aca="false">MID(A803,4,3)</f>
        <v>LAD</v>
      </c>
      <c r="D803" s="0" t="str">
        <f aca="false">LEFT(A803,18)</f>
        <v>PX-LAD-4A-2806-000</v>
      </c>
      <c r="E803" s="0" t="str">
        <f aca="false">RIGHT(A803,1)</f>
        <v>A</v>
      </c>
      <c r="F803" s="0" t="s">
        <v>782</v>
      </c>
      <c r="G803" s="0" t="str">
        <f aca="false">MID(D803,8,1)</f>
        <v>4</v>
      </c>
      <c r="H803" s="0" t="n">
        <v>1</v>
      </c>
    </row>
    <row r="804" customFormat="false" ht="15" hidden="false" customHeight="false" outlineLevel="0" collapsed="false">
      <c r="A804" s="0" t="s">
        <v>1049</v>
      </c>
      <c r="B804" s="0" t="n">
        <v>5</v>
      </c>
      <c r="C804" s="0" t="str">
        <f aca="false">MID(A804,4,3)</f>
        <v>LAD</v>
      </c>
      <c r="D804" s="0" t="str">
        <f aca="false">LEFT(A804,18)</f>
        <v>PX-LAD-4A-2806-000</v>
      </c>
      <c r="E804" s="0" t="str">
        <f aca="false">RIGHT(A804,1)</f>
        <v>B</v>
      </c>
      <c r="F804" s="0" t="s">
        <v>782</v>
      </c>
      <c r="G804" s="0" t="str">
        <f aca="false">MID(D804,8,1)</f>
        <v>4</v>
      </c>
      <c r="H804" s="0" t="n">
        <v>1</v>
      </c>
    </row>
    <row r="805" customFormat="false" ht="15" hidden="false" customHeight="false" outlineLevel="0" collapsed="false">
      <c r="A805" s="0" t="s">
        <v>1050</v>
      </c>
      <c r="B805" s="0" t="n">
        <v>5</v>
      </c>
      <c r="C805" s="0" t="str">
        <f aca="false">MID(A805,4,3)</f>
        <v>LAD</v>
      </c>
      <c r="D805" s="0" t="str">
        <f aca="false">LEFT(A805,18)</f>
        <v>PX-LAD-4A-2806-000</v>
      </c>
      <c r="E805" s="0" t="str">
        <f aca="false">RIGHT(A805,1)</f>
        <v>C</v>
      </c>
      <c r="F805" s="0" t="s">
        <v>782</v>
      </c>
      <c r="G805" s="0" t="str">
        <f aca="false">MID(D805,8,1)</f>
        <v>4</v>
      </c>
      <c r="H805" s="0" t="n">
        <v>1</v>
      </c>
    </row>
    <row r="806" customFormat="false" ht="15" hidden="false" customHeight="false" outlineLevel="0" collapsed="false">
      <c r="A806" s="0" t="s">
        <v>1051</v>
      </c>
      <c r="B806" s="0" t="n">
        <v>5</v>
      </c>
      <c r="C806" s="0" t="str">
        <f aca="false">MID(A806,4,3)</f>
        <v>LAD</v>
      </c>
      <c r="D806" s="0" t="str">
        <f aca="false">A806</f>
        <v>PX-LAD-4A-2806-050</v>
      </c>
      <c r="E806" s="0" t="str">
        <f aca="false">RIGHT(A806,3)</f>
        <v>050</v>
      </c>
      <c r="F806" s="0" t="s">
        <v>782</v>
      </c>
      <c r="G806" s="0" t="str">
        <f aca="false">MID(D806,8,1)</f>
        <v>4</v>
      </c>
      <c r="H806" s="0" t="n">
        <v>1</v>
      </c>
    </row>
    <row r="807" customFormat="false" ht="15" hidden="false" customHeight="false" outlineLevel="0" collapsed="false">
      <c r="A807" s="0" t="s">
        <v>1052</v>
      </c>
      <c r="B807" s="0" t="n">
        <v>5</v>
      </c>
      <c r="C807" s="0" t="str">
        <f aca="false">MID(A807,4,3)</f>
        <v>LAD</v>
      </c>
      <c r="D807" s="0" t="str">
        <f aca="false">LEFT(A807,18)</f>
        <v>PX-LAD-4A-2806-050</v>
      </c>
      <c r="E807" s="0" t="str">
        <f aca="false">RIGHT(A807,1)</f>
        <v>A</v>
      </c>
      <c r="F807" s="0" t="s">
        <v>782</v>
      </c>
      <c r="G807" s="0" t="str">
        <f aca="false">MID(D807,8,1)</f>
        <v>4</v>
      </c>
      <c r="H807" s="0" t="n">
        <v>1</v>
      </c>
    </row>
    <row r="808" customFormat="false" ht="15" hidden="false" customHeight="false" outlineLevel="0" collapsed="false">
      <c r="A808" s="0" t="s">
        <v>1053</v>
      </c>
      <c r="B808" s="0" t="n">
        <v>5</v>
      </c>
      <c r="C808" s="0" t="str">
        <f aca="false">MID(A808,4,3)</f>
        <v>LAD</v>
      </c>
      <c r="D808" s="0" t="str">
        <f aca="false">LEFT(A808,18)</f>
        <v>PX-LAD-4A-2806-050</v>
      </c>
      <c r="E808" s="0" t="str">
        <f aca="false">RIGHT(A808,1)</f>
        <v>B</v>
      </c>
      <c r="F808" s="0" t="s">
        <v>782</v>
      </c>
      <c r="G808" s="0" t="str">
        <f aca="false">MID(D808,8,1)</f>
        <v>4</v>
      </c>
      <c r="H808" s="0" t="n">
        <v>1</v>
      </c>
    </row>
    <row r="809" customFormat="false" ht="15" hidden="false" customHeight="false" outlineLevel="0" collapsed="false">
      <c r="A809" s="0" t="s">
        <v>1054</v>
      </c>
      <c r="B809" s="0" t="n">
        <v>5</v>
      </c>
      <c r="C809" s="0" t="str">
        <f aca="false">MID(A809,4,3)</f>
        <v>LAD</v>
      </c>
      <c r="D809" s="0" t="str">
        <f aca="false">LEFT(A809,18)</f>
        <v>PX-LAD-4A-2806-050</v>
      </c>
      <c r="E809" s="0" t="str">
        <f aca="false">RIGHT(A809,1)</f>
        <v>C</v>
      </c>
      <c r="F809" s="0" t="s">
        <v>782</v>
      </c>
      <c r="G809" s="0" t="str">
        <f aca="false">MID(D809,8,1)</f>
        <v>4</v>
      </c>
      <c r="H809" s="0" t="n">
        <v>1</v>
      </c>
    </row>
    <row r="810" customFormat="false" ht="15" hidden="false" customHeight="false" outlineLevel="0" collapsed="false">
      <c r="A810" s="0" t="s">
        <v>1055</v>
      </c>
      <c r="B810" s="0" t="n">
        <v>5</v>
      </c>
      <c r="C810" s="0" t="str">
        <f aca="false">MID(A810,4,3)</f>
        <v>LAD</v>
      </c>
      <c r="D810" s="0" t="str">
        <f aca="false">A810</f>
        <v>PX-LAD-4A-2806-100</v>
      </c>
      <c r="E810" s="0" t="str">
        <f aca="false">RIGHT(A810,3)</f>
        <v>100</v>
      </c>
      <c r="F810" s="0" t="s">
        <v>782</v>
      </c>
      <c r="G810" s="0" t="str">
        <f aca="false">MID(D810,8,1)</f>
        <v>4</v>
      </c>
      <c r="H810" s="0" t="n">
        <v>1</v>
      </c>
    </row>
    <row r="811" customFormat="false" ht="15" hidden="false" customHeight="false" outlineLevel="0" collapsed="false">
      <c r="A811" s="0" t="s">
        <v>1056</v>
      </c>
      <c r="B811" s="0" t="n">
        <v>5</v>
      </c>
      <c r="C811" s="0" t="str">
        <f aca="false">MID(A811,4,3)</f>
        <v>LAD</v>
      </c>
      <c r="D811" s="0" t="str">
        <f aca="false">LEFT(A811,18)</f>
        <v>PX-LAD-4A-2806-100</v>
      </c>
      <c r="E811" s="0" t="str">
        <f aca="false">RIGHT(A811,1)</f>
        <v>A</v>
      </c>
      <c r="F811" s="0" t="s">
        <v>782</v>
      </c>
      <c r="G811" s="0" t="str">
        <f aca="false">MID(D811,8,1)</f>
        <v>4</v>
      </c>
      <c r="H811" s="0" t="n">
        <v>1</v>
      </c>
    </row>
    <row r="812" customFormat="false" ht="15" hidden="false" customHeight="false" outlineLevel="0" collapsed="false">
      <c r="A812" s="0" t="s">
        <v>1057</v>
      </c>
      <c r="B812" s="0" t="n">
        <v>5</v>
      </c>
      <c r="C812" s="0" t="str">
        <f aca="false">MID(A812,4,3)</f>
        <v>LAD</v>
      </c>
      <c r="D812" s="0" t="str">
        <f aca="false">LEFT(A812,18)</f>
        <v>PX-LAD-4A-2806-100</v>
      </c>
      <c r="E812" s="0" t="str">
        <f aca="false">RIGHT(A812,1)</f>
        <v>B</v>
      </c>
      <c r="F812" s="0" t="s">
        <v>782</v>
      </c>
      <c r="G812" s="0" t="str">
        <f aca="false">MID(D812,8,1)</f>
        <v>4</v>
      </c>
      <c r="H812" s="0" t="n">
        <v>1</v>
      </c>
    </row>
    <row r="813" customFormat="false" ht="15" hidden="false" customHeight="false" outlineLevel="0" collapsed="false">
      <c r="A813" s="0" t="s">
        <v>1058</v>
      </c>
      <c r="B813" s="0" t="n">
        <v>5</v>
      </c>
      <c r="C813" s="0" t="str">
        <f aca="false">MID(A813,4,3)</f>
        <v>LAD</v>
      </c>
      <c r="D813" s="0" t="str">
        <f aca="false">LEFT(A813,18)</f>
        <v>PX-LAD-4A-2806-100</v>
      </c>
      <c r="E813" s="0" t="str">
        <f aca="false">RIGHT(A813,1)</f>
        <v>C</v>
      </c>
      <c r="F813" s="0" t="s">
        <v>782</v>
      </c>
      <c r="G813" s="0" t="str">
        <f aca="false">MID(D813,8,1)</f>
        <v>4</v>
      </c>
      <c r="H813" s="0" t="n">
        <v>1</v>
      </c>
    </row>
    <row r="814" customFormat="false" ht="15" hidden="false" customHeight="false" outlineLevel="0" collapsed="false">
      <c r="A814" s="0" t="s">
        <v>1059</v>
      </c>
      <c r="B814" s="0" t="n">
        <v>5</v>
      </c>
      <c r="C814" s="0" t="str">
        <f aca="false">MID(A814,4,3)</f>
        <v>LAD</v>
      </c>
      <c r="D814" s="0" t="str">
        <f aca="false">A814</f>
        <v>PX-LAD-4A-2807-000</v>
      </c>
      <c r="E814" s="0" t="str">
        <f aca="false">RIGHT(A814,3)</f>
        <v>000</v>
      </c>
      <c r="F814" s="0" t="s">
        <v>782</v>
      </c>
      <c r="G814" s="0" t="str">
        <f aca="false">MID(D814,8,1)</f>
        <v>4</v>
      </c>
      <c r="H814" s="0" t="n">
        <v>1</v>
      </c>
    </row>
    <row r="815" customFormat="false" ht="15" hidden="false" customHeight="false" outlineLevel="0" collapsed="false">
      <c r="A815" s="0" t="s">
        <v>1060</v>
      </c>
      <c r="B815" s="0" t="n">
        <v>5</v>
      </c>
      <c r="C815" s="0" t="str">
        <f aca="false">MID(A815,4,3)</f>
        <v>LAD</v>
      </c>
      <c r="D815" s="0" t="str">
        <f aca="false">LEFT(A815,18)</f>
        <v>PX-LAD-4A-2807-000</v>
      </c>
      <c r="E815" s="0" t="str">
        <f aca="false">RIGHT(A815,1)</f>
        <v>A</v>
      </c>
      <c r="F815" s="0" t="s">
        <v>782</v>
      </c>
      <c r="G815" s="0" t="str">
        <f aca="false">MID(D815,8,1)</f>
        <v>4</v>
      </c>
      <c r="H815" s="0" t="n">
        <v>1</v>
      </c>
    </row>
    <row r="816" customFormat="false" ht="15" hidden="false" customHeight="false" outlineLevel="0" collapsed="false">
      <c r="A816" s="0" t="s">
        <v>1061</v>
      </c>
      <c r="B816" s="0" t="n">
        <v>5</v>
      </c>
      <c r="C816" s="0" t="str">
        <f aca="false">MID(A816,4,3)</f>
        <v>LAD</v>
      </c>
      <c r="D816" s="0" t="str">
        <f aca="false">LEFT(A816,18)</f>
        <v>PX-LAD-4A-2807-000</v>
      </c>
      <c r="E816" s="0" t="str">
        <f aca="false">RIGHT(A816,1)</f>
        <v>B</v>
      </c>
      <c r="F816" s="0" t="s">
        <v>782</v>
      </c>
      <c r="G816" s="0" t="str">
        <f aca="false">MID(D816,8,1)</f>
        <v>4</v>
      </c>
      <c r="H816" s="0" t="n">
        <v>1</v>
      </c>
    </row>
    <row r="817" customFormat="false" ht="15" hidden="false" customHeight="false" outlineLevel="0" collapsed="false">
      <c r="A817" s="0" t="s">
        <v>1062</v>
      </c>
      <c r="B817" s="0" t="n">
        <v>5</v>
      </c>
      <c r="C817" s="0" t="str">
        <f aca="false">MID(A817,4,3)</f>
        <v>LAD</v>
      </c>
      <c r="D817" s="0" t="str">
        <f aca="false">LEFT(A817,18)</f>
        <v>PX-LAD-4A-2807-000</v>
      </c>
      <c r="E817" s="0" t="str">
        <f aca="false">RIGHT(A817,1)</f>
        <v>C</v>
      </c>
      <c r="F817" s="0" t="s">
        <v>782</v>
      </c>
      <c r="G817" s="0" t="str">
        <f aca="false">MID(D817,8,1)</f>
        <v>4</v>
      </c>
      <c r="H817" s="0" t="n">
        <v>1</v>
      </c>
    </row>
    <row r="818" customFormat="false" ht="15" hidden="false" customHeight="false" outlineLevel="0" collapsed="false">
      <c r="A818" s="0" t="s">
        <v>1063</v>
      </c>
      <c r="B818" s="0" t="n">
        <v>5</v>
      </c>
      <c r="C818" s="0" t="str">
        <f aca="false">MID(A818,4,3)</f>
        <v>LAD</v>
      </c>
      <c r="D818" s="0" t="str">
        <f aca="false">LEFT(A818,18)</f>
        <v>PX-LAD-4A-2807-000</v>
      </c>
      <c r="E818" s="0" t="str">
        <f aca="false">RIGHT(A818,1)</f>
        <v>D</v>
      </c>
      <c r="F818" s="0" t="s">
        <v>782</v>
      </c>
      <c r="G818" s="0" t="str">
        <f aca="false">MID(D818,8,1)</f>
        <v>4</v>
      </c>
      <c r="H818" s="0" t="n">
        <v>1</v>
      </c>
    </row>
    <row r="819" customFormat="false" ht="15" hidden="false" customHeight="false" outlineLevel="0" collapsed="false">
      <c r="A819" s="0" t="s">
        <v>1064</v>
      </c>
      <c r="B819" s="0" t="n">
        <v>5</v>
      </c>
      <c r="C819" s="0" t="str">
        <f aca="false">MID(A819,4,3)</f>
        <v>LAD</v>
      </c>
      <c r="D819" s="0" t="str">
        <f aca="false">LEFT(A819,18)</f>
        <v>PX-LAD-4A-2807-000</v>
      </c>
      <c r="E819" s="0" t="str">
        <f aca="false">RIGHT(A819,1)</f>
        <v>E</v>
      </c>
      <c r="F819" s="0" t="s">
        <v>782</v>
      </c>
      <c r="G819" s="0" t="str">
        <f aca="false">MID(D819,8,1)</f>
        <v>4</v>
      </c>
      <c r="H819" s="0" t="n">
        <v>1</v>
      </c>
    </row>
    <row r="820" customFormat="false" ht="15" hidden="false" customHeight="false" outlineLevel="0" collapsed="false">
      <c r="A820" s="0" t="s">
        <v>1065</v>
      </c>
      <c r="B820" s="0" t="n">
        <v>5</v>
      </c>
      <c r="C820" s="0" t="str">
        <f aca="false">MID(A820,4,3)</f>
        <v>LAD</v>
      </c>
      <c r="D820" s="0" t="str">
        <f aca="false">A820</f>
        <v>PX-LAD-4A-2807-040</v>
      </c>
      <c r="E820" s="0" t="str">
        <f aca="false">RIGHT(A820,3)</f>
        <v>040</v>
      </c>
      <c r="F820" s="0" t="s">
        <v>782</v>
      </c>
      <c r="G820" s="0" t="str">
        <f aca="false">MID(D820,8,1)</f>
        <v>4</v>
      </c>
      <c r="H820" s="0" t="n">
        <v>1</v>
      </c>
    </row>
    <row r="821" customFormat="false" ht="15" hidden="false" customHeight="false" outlineLevel="0" collapsed="false">
      <c r="A821" s="0" t="s">
        <v>1066</v>
      </c>
      <c r="B821" s="0" t="n">
        <v>5</v>
      </c>
      <c r="C821" s="0" t="str">
        <f aca="false">MID(A821,4,3)</f>
        <v>LAD</v>
      </c>
      <c r="D821" s="0" t="str">
        <f aca="false">LEFT(A821,18)</f>
        <v>PX-LAD-4A-2807-040</v>
      </c>
      <c r="E821" s="0" t="str">
        <f aca="false">RIGHT(A821,1)</f>
        <v>A</v>
      </c>
      <c r="F821" s="0" t="s">
        <v>782</v>
      </c>
      <c r="G821" s="0" t="str">
        <f aca="false">MID(D821,8,1)</f>
        <v>4</v>
      </c>
      <c r="H821" s="0" t="n">
        <v>1</v>
      </c>
    </row>
    <row r="822" customFormat="false" ht="15" hidden="false" customHeight="false" outlineLevel="0" collapsed="false">
      <c r="A822" s="0" t="s">
        <v>1067</v>
      </c>
      <c r="B822" s="0" t="n">
        <v>5</v>
      </c>
      <c r="C822" s="0" t="str">
        <f aca="false">MID(A822,4,3)</f>
        <v>LAD</v>
      </c>
      <c r="D822" s="0" t="str">
        <f aca="false">LEFT(A822,18)</f>
        <v>PX-LAD-4A-2807-040</v>
      </c>
      <c r="E822" s="0" t="str">
        <f aca="false">RIGHT(A822,1)</f>
        <v>B</v>
      </c>
      <c r="F822" s="0" t="s">
        <v>782</v>
      </c>
      <c r="G822" s="0" t="str">
        <f aca="false">MID(D822,8,1)</f>
        <v>4</v>
      </c>
      <c r="H822" s="0" t="n">
        <v>1</v>
      </c>
    </row>
    <row r="823" customFormat="false" ht="15" hidden="false" customHeight="false" outlineLevel="0" collapsed="false">
      <c r="A823" s="0" t="s">
        <v>1068</v>
      </c>
      <c r="B823" s="0" t="n">
        <v>5</v>
      </c>
      <c r="C823" s="0" t="str">
        <f aca="false">MID(A823,4,3)</f>
        <v>LAD</v>
      </c>
      <c r="D823" s="0" t="str">
        <f aca="false">LEFT(A823,18)</f>
        <v>PX-LAD-4A-2807-040</v>
      </c>
      <c r="E823" s="0" t="str">
        <f aca="false">RIGHT(A823,1)</f>
        <v>C</v>
      </c>
      <c r="F823" s="0" t="s">
        <v>782</v>
      </c>
      <c r="G823" s="0" t="str">
        <f aca="false">MID(D823,8,1)</f>
        <v>4</v>
      </c>
      <c r="H823" s="0" t="n">
        <v>1</v>
      </c>
    </row>
    <row r="824" customFormat="false" ht="15" hidden="false" customHeight="false" outlineLevel="0" collapsed="false">
      <c r="A824" s="0" t="s">
        <v>1069</v>
      </c>
      <c r="B824" s="0" t="n">
        <v>5</v>
      </c>
      <c r="C824" s="0" t="str">
        <f aca="false">MID(A824,4,3)</f>
        <v>LAD</v>
      </c>
      <c r="D824" s="0" t="str">
        <f aca="false">LEFT(A824,18)</f>
        <v>PX-LAD-4A-2807-040</v>
      </c>
      <c r="E824" s="0" t="str">
        <f aca="false">RIGHT(A824,1)</f>
        <v>D</v>
      </c>
      <c r="F824" s="0" t="s">
        <v>782</v>
      </c>
      <c r="G824" s="0" t="str">
        <f aca="false">MID(D824,8,1)</f>
        <v>4</v>
      </c>
      <c r="H824" s="0" t="n">
        <v>1</v>
      </c>
    </row>
    <row r="825" customFormat="false" ht="15" hidden="false" customHeight="false" outlineLevel="0" collapsed="false">
      <c r="A825" s="0" t="s">
        <v>1070</v>
      </c>
      <c r="B825" s="0" t="n">
        <v>5</v>
      </c>
      <c r="C825" s="0" t="str">
        <f aca="false">MID(A825,4,3)</f>
        <v>LAD</v>
      </c>
      <c r="D825" s="0" t="str">
        <f aca="false">LEFT(A825,18)</f>
        <v>PX-LAD-4A-2807-040</v>
      </c>
      <c r="E825" s="0" t="str">
        <f aca="false">RIGHT(A825,1)</f>
        <v>E</v>
      </c>
      <c r="F825" s="0" t="s">
        <v>782</v>
      </c>
      <c r="G825" s="0" t="str">
        <f aca="false">MID(D825,8,1)</f>
        <v>4</v>
      </c>
      <c r="H825" s="0" t="n">
        <v>1</v>
      </c>
    </row>
    <row r="826" customFormat="false" ht="15" hidden="false" customHeight="false" outlineLevel="0" collapsed="false">
      <c r="A826" s="0" t="s">
        <v>1071</v>
      </c>
      <c r="B826" s="0" t="n">
        <v>5</v>
      </c>
      <c r="C826" s="0" t="str">
        <f aca="false">MID(A826,4,3)</f>
        <v>LAD</v>
      </c>
      <c r="D826" s="0" t="str">
        <f aca="false">A826</f>
        <v>PX-LAD-4A-2807-080</v>
      </c>
      <c r="E826" s="0" t="str">
        <f aca="false">RIGHT(A826,3)</f>
        <v>080</v>
      </c>
      <c r="F826" s="0" t="s">
        <v>782</v>
      </c>
      <c r="G826" s="0" t="str">
        <f aca="false">MID(D826,8,1)</f>
        <v>4</v>
      </c>
      <c r="H826" s="0" t="n">
        <v>1</v>
      </c>
    </row>
    <row r="827" customFormat="false" ht="15" hidden="false" customHeight="false" outlineLevel="0" collapsed="false">
      <c r="A827" s="0" t="s">
        <v>1072</v>
      </c>
      <c r="B827" s="0" t="n">
        <v>5</v>
      </c>
      <c r="C827" s="0" t="str">
        <f aca="false">MID(A827,4,3)</f>
        <v>LAD</v>
      </c>
      <c r="D827" s="0" t="str">
        <f aca="false">LEFT(A827,18)</f>
        <v>PX-LAD-4A-2807-080</v>
      </c>
      <c r="E827" s="0" t="str">
        <f aca="false">RIGHT(A827,1)</f>
        <v>A</v>
      </c>
      <c r="F827" s="0" t="s">
        <v>782</v>
      </c>
      <c r="G827" s="0" t="str">
        <f aca="false">MID(D827,8,1)</f>
        <v>4</v>
      </c>
      <c r="H827" s="0" t="n">
        <v>1</v>
      </c>
    </row>
    <row r="828" customFormat="false" ht="15" hidden="false" customHeight="false" outlineLevel="0" collapsed="false">
      <c r="A828" s="0" t="s">
        <v>1073</v>
      </c>
      <c r="B828" s="0" t="n">
        <v>5</v>
      </c>
      <c r="C828" s="0" t="str">
        <f aca="false">MID(A828,4,3)</f>
        <v>LAD</v>
      </c>
      <c r="D828" s="0" t="str">
        <f aca="false">LEFT(A828,18)</f>
        <v>PX-LAD-4A-2807-080</v>
      </c>
      <c r="E828" s="0" t="str">
        <f aca="false">RIGHT(A828,1)</f>
        <v>B</v>
      </c>
      <c r="F828" s="0" t="s">
        <v>782</v>
      </c>
      <c r="G828" s="0" t="str">
        <f aca="false">MID(D828,8,1)</f>
        <v>4</v>
      </c>
      <c r="H828" s="0" t="n">
        <v>1</v>
      </c>
    </row>
    <row r="829" customFormat="false" ht="15" hidden="false" customHeight="false" outlineLevel="0" collapsed="false">
      <c r="A829" s="0" t="s">
        <v>1074</v>
      </c>
      <c r="B829" s="0" t="n">
        <v>5</v>
      </c>
      <c r="C829" s="0" t="str">
        <f aca="false">MID(A829,4,3)</f>
        <v>LAD</v>
      </c>
      <c r="D829" s="0" t="str">
        <f aca="false">LEFT(A829,18)</f>
        <v>PX-LAD-4A-2807-080</v>
      </c>
      <c r="E829" s="0" t="str">
        <f aca="false">RIGHT(A829,1)</f>
        <v>C</v>
      </c>
      <c r="F829" s="0" t="s">
        <v>782</v>
      </c>
      <c r="G829" s="0" t="str">
        <f aca="false">MID(D829,8,1)</f>
        <v>4</v>
      </c>
      <c r="H829" s="0" t="n">
        <v>1</v>
      </c>
    </row>
    <row r="830" customFormat="false" ht="15" hidden="false" customHeight="false" outlineLevel="0" collapsed="false">
      <c r="A830" s="0" t="s">
        <v>1075</v>
      </c>
      <c r="B830" s="0" t="n">
        <v>5</v>
      </c>
      <c r="C830" s="0" t="str">
        <f aca="false">MID(A830,4,3)</f>
        <v>LAD</v>
      </c>
      <c r="D830" s="0" t="str">
        <f aca="false">LEFT(A830,18)</f>
        <v>PX-LAD-4A-2807-080</v>
      </c>
      <c r="E830" s="0" t="str">
        <f aca="false">RIGHT(A830,1)</f>
        <v>D</v>
      </c>
      <c r="F830" s="0" t="s">
        <v>782</v>
      </c>
      <c r="G830" s="0" t="str">
        <f aca="false">MID(D830,8,1)</f>
        <v>4</v>
      </c>
      <c r="H830" s="0" t="n">
        <v>1</v>
      </c>
    </row>
    <row r="831" customFormat="false" ht="15" hidden="false" customHeight="false" outlineLevel="0" collapsed="false">
      <c r="A831" s="0" t="s">
        <v>1076</v>
      </c>
      <c r="B831" s="0" t="n">
        <v>5</v>
      </c>
      <c r="C831" s="0" t="str">
        <f aca="false">MID(A831,4,3)</f>
        <v>LAD</v>
      </c>
      <c r="D831" s="0" t="str">
        <f aca="false">LEFT(A831,18)</f>
        <v>PX-LAD-4A-2807-080</v>
      </c>
      <c r="E831" s="0" t="str">
        <f aca="false">RIGHT(A831,1)</f>
        <v>E</v>
      </c>
      <c r="F831" s="0" t="s">
        <v>782</v>
      </c>
      <c r="G831" s="0" t="str">
        <f aca="false">MID(D831,8,1)</f>
        <v>4</v>
      </c>
      <c r="H831" s="0" t="n">
        <v>1</v>
      </c>
    </row>
    <row r="832" customFormat="false" ht="15" hidden="false" customHeight="false" outlineLevel="0" collapsed="false">
      <c r="A832" s="0" t="s">
        <v>1077</v>
      </c>
      <c r="B832" s="0" t="n">
        <v>5</v>
      </c>
      <c r="C832" s="0" t="str">
        <f aca="false">MID(A832,4,3)</f>
        <v>LAD</v>
      </c>
      <c r="D832" s="0" t="str">
        <f aca="false">A832</f>
        <v>PX-LAD-4A-2807-100</v>
      </c>
      <c r="E832" s="0" t="str">
        <f aca="false">RIGHT(A832,3)</f>
        <v>100</v>
      </c>
      <c r="F832" s="0" t="s">
        <v>782</v>
      </c>
      <c r="G832" s="0" t="str">
        <f aca="false">MID(D832,8,1)</f>
        <v>4</v>
      </c>
      <c r="H832" s="0" t="n">
        <v>1</v>
      </c>
    </row>
    <row r="833" customFormat="false" ht="15" hidden="false" customHeight="false" outlineLevel="0" collapsed="false">
      <c r="A833" s="0" t="s">
        <v>1078</v>
      </c>
      <c r="B833" s="0" t="n">
        <v>5</v>
      </c>
      <c r="C833" s="0" t="str">
        <f aca="false">MID(A833,4,3)</f>
        <v>LAD</v>
      </c>
      <c r="D833" s="0" t="str">
        <f aca="false">LEFT(A833,18)</f>
        <v>PX-LAD-4A-2807-100</v>
      </c>
      <c r="E833" s="0" t="str">
        <f aca="false">RIGHT(A833,1)</f>
        <v>A</v>
      </c>
      <c r="F833" s="0" t="s">
        <v>782</v>
      </c>
      <c r="G833" s="0" t="str">
        <f aca="false">MID(D833,8,1)</f>
        <v>4</v>
      </c>
      <c r="H833" s="0" t="n">
        <v>1</v>
      </c>
    </row>
    <row r="834" customFormat="false" ht="15" hidden="false" customHeight="false" outlineLevel="0" collapsed="false">
      <c r="A834" s="0" t="s">
        <v>1079</v>
      </c>
      <c r="B834" s="0" t="n">
        <v>5</v>
      </c>
      <c r="C834" s="0" t="str">
        <f aca="false">MID(A834,4,3)</f>
        <v>LAD</v>
      </c>
      <c r="D834" s="0" t="str">
        <f aca="false">LEFT(A834,18)</f>
        <v>PX-LAD-4A-2807-100</v>
      </c>
      <c r="E834" s="0" t="str">
        <f aca="false">RIGHT(A834,1)</f>
        <v>B</v>
      </c>
      <c r="F834" s="0" t="s">
        <v>782</v>
      </c>
      <c r="G834" s="0" t="str">
        <f aca="false">MID(D834,8,1)</f>
        <v>4</v>
      </c>
      <c r="H834" s="0" t="n">
        <v>1</v>
      </c>
    </row>
    <row r="835" customFormat="false" ht="15" hidden="false" customHeight="false" outlineLevel="0" collapsed="false">
      <c r="A835" s="0" t="s">
        <v>1080</v>
      </c>
      <c r="B835" s="0" t="n">
        <v>5</v>
      </c>
      <c r="C835" s="0" t="str">
        <f aca="false">MID(A835,4,3)</f>
        <v>LAD</v>
      </c>
      <c r="D835" s="0" t="str">
        <f aca="false">LEFT(A835,18)</f>
        <v>PX-LAD-4A-2807-100</v>
      </c>
      <c r="E835" s="0" t="str">
        <f aca="false">RIGHT(A835,1)</f>
        <v>C</v>
      </c>
      <c r="F835" s="0" t="s">
        <v>782</v>
      </c>
      <c r="G835" s="0" t="str">
        <f aca="false">MID(D835,8,1)</f>
        <v>4</v>
      </c>
      <c r="H835" s="0" t="n">
        <v>1</v>
      </c>
    </row>
    <row r="836" customFormat="false" ht="15" hidden="false" customHeight="false" outlineLevel="0" collapsed="false">
      <c r="A836" s="0" t="s">
        <v>1081</v>
      </c>
      <c r="B836" s="0" t="n">
        <v>5</v>
      </c>
      <c r="C836" s="0" t="str">
        <f aca="false">MID(A836,4,3)</f>
        <v>LAD</v>
      </c>
      <c r="D836" s="0" t="str">
        <f aca="false">LEFT(A836,18)</f>
        <v>PX-LAD-4A-2807-100</v>
      </c>
      <c r="E836" s="0" t="str">
        <f aca="false">RIGHT(A836,1)</f>
        <v>D</v>
      </c>
      <c r="F836" s="0" t="s">
        <v>782</v>
      </c>
      <c r="G836" s="0" t="str">
        <f aca="false">MID(D836,8,1)</f>
        <v>4</v>
      </c>
      <c r="H836" s="0" t="n">
        <v>1</v>
      </c>
    </row>
    <row r="837" customFormat="false" ht="15" hidden="false" customHeight="false" outlineLevel="0" collapsed="false">
      <c r="A837" s="0" t="s">
        <v>1082</v>
      </c>
      <c r="B837" s="0" t="n">
        <v>5</v>
      </c>
      <c r="C837" s="0" t="str">
        <f aca="false">MID(A837,4,3)</f>
        <v>LAD</v>
      </c>
      <c r="D837" s="0" t="str">
        <f aca="false">LEFT(A837,18)</f>
        <v>PX-LAD-4A-2807-100</v>
      </c>
      <c r="E837" s="0" t="str">
        <f aca="false">RIGHT(A837,1)</f>
        <v>E</v>
      </c>
      <c r="F837" s="0" t="s">
        <v>782</v>
      </c>
      <c r="G837" s="0" t="str">
        <f aca="false">MID(D837,8,1)</f>
        <v>4</v>
      </c>
      <c r="H837" s="0" t="n">
        <v>1</v>
      </c>
    </row>
    <row r="838" customFormat="false" ht="15" hidden="false" customHeight="false" outlineLevel="0" collapsed="false">
      <c r="A838" s="0" t="s">
        <v>1083</v>
      </c>
      <c r="B838" s="0" t="n">
        <v>5</v>
      </c>
      <c r="C838" s="0" t="str">
        <f aca="false">MID(A838,4,3)</f>
        <v>LAD</v>
      </c>
      <c r="D838" s="0" t="str">
        <f aca="false">A838</f>
        <v>PX-LAD-4A-2808-000</v>
      </c>
      <c r="E838" s="0" t="str">
        <f aca="false">RIGHT(A838,3)</f>
        <v>000</v>
      </c>
      <c r="F838" s="0" t="s">
        <v>782</v>
      </c>
      <c r="G838" s="0" t="str">
        <f aca="false">MID(D838,8,1)</f>
        <v>4</v>
      </c>
      <c r="H838" s="0" t="n">
        <v>1</v>
      </c>
    </row>
    <row r="839" customFormat="false" ht="15" hidden="false" customHeight="false" outlineLevel="0" collapsed="false">
      <c r="A839" s="0" t="s">
        <v>1084</v>
      </c>
      <c r="B839" s="0" t="n">
        <v>5</v>
      </c>
      <c r="C839" s="0" t="str">
        <f aca="false">MID(A839,4,3)</f>
        <v>LAD</v>
      </c>
      <c r="D839" s="0" t="str">
        <f aca="false">LEFT(A839,18)</f>
        <v>PX-LAD-4A-2808-000</v>
      </c>
      <c r="E839" s="0" t="str">
        <f aca="false">RIGHT(A839,1)</f>
        <v>A</v>
      </c>
      <c r="F839" s="0" t="s">
        <v>782</v>
      </c>
      <c r="G839" s="0" t="str">
        <f aca="false">MID(D839,8,1)</f>
        <v>4</v>
      </c>
      <c r="H839" s="0" t="n">
        <v>1</v>
      </c>
    </row>
    <row r="840" customFormat="false" ht="15" hidden="false" customHeight="false" outlineLevel="0" collapsed="false">
      <c r="A840" s="0" t="s">
        <v>1085</v>
      </c>
      <c r="B840" s="0" t="n">
        <v>5</v>
      </c>
      <c r="C840" s="0" t="str">
        <f aca="false">MID(A840,4,3)</f>
        <v>LAD</v>
      </c>
      <c r="D840" s="0" t="str">
        <f aca="false">LEFT(A840,18)</f>
        <v>PX-LAD-4A-2808-000</v>
      </c>
      <c r="E840" s="0" t="str">
        <f aca="false">RIGHT(A840,1)</f>
        <v>B</v>
      </c>
      <c r="F840" s="0" t="s">
        <v>782</v>
      </c>
      <c r="G840" s="0" t="str">
        <f aca="false">MID(D840,8,1)</f>
        <v>4</v>
      </c>
      <c r="H840" s="0" t="n">
        <v>1</v>
      </c>
    </row>
    <row r="841" customFormat="false" ht="15" hidden="false" customHeight="false" outlineLevel="0" collapsed="false">
      <c r="A841" s="0" t="s">
        <v>1086</v>
      </c>
      <c r="B841" s="0" t="n">
        <v>5</v>
      </c>
      <c r="C841" s="0" t="str">
        <f aca="false">MID(A841,4,3)</f>
        <v>LAD</v>
      </c>
      <c r="D841" s="0" t="str">
        <f aca="false">LEFT(A841,18)</f>
        <v>PX-LAD-4A-2808-000</v>
      </c>
      <c r="E841" s="0" t="str">
        <f aca="false">RIGHT(A841,1)</f>
        <v>C</v>
      </c>
      <c r="F841" s="0" t="s">
        <v>782</v>
      </c>
      <c r="G841" s="0" t="str">
        <f aca="false">MID(D841,8,1)</f>
        <v>4</v>
      </c>
      <c r="H841" s="0" t="n">
        <v>1</v>
      </c>
    </row>
    <row r="842" customFormat="false" ht="15" hidden="false" customHeight="false" outlineLevel="0" collapsed="false">
      <c r="A842" s="0" t="s">
        <v>1087</v>
      </c>
      <c r="B842" s="0" t="n">
        <v>5</v>
      </c>
      <c r="C842" s="0" t="str">
        <f aca="false">MID(A842,4,3)</f>
        <v>LAD</v>
      </c>
      <c r="D842" s="0" t="str">
        <f aca="false">LEFT(A842,18)</f>
        <v>PX-LAD-4A-2808-000</v>
      </c>
      <c r="E842" s="0" t="str">
        <f aca="false">RIGHT(A842,1)</f>
        <v>D</v>
      </c>
      <c r="F842" s="0" t="s">
        <v>782</v>
      </c>
      <c r="G842" s="0" t="str">
        <f aca="false">MID(D842,8,1)</f>
        <v>4</v>
      </c>
      <c r="H842" s="0" t="n">
        <v>1</v>
      </c>
    </row>
    <row r="843" customFormat="false" ht="15" hidden="false" customHeight="false" outlineLevel="0" collapsed="false">
      <c r="A843" s="0" t="s">
        <v>1088</v>
      </c>
      <c r="B843" s="0" t="n">
        <v>5</v>
      </c>
      <c r="C843" s="0" t="str">
        <f aca="false">MID(A843,4,3)</f>
        <v>LAD</v>
      </c>
      <c r="D843" s="0" t="str">
        <f aca="false">LEFT(A843,18)</f>
        <v>PX-LAD-4A-2808-000</v>
      </c>
      <c r="E843" s="0" t="str">
        <f aca="false">RIGHT(A843,1)</f>
        <v>E</v>
      </c>
      <c r="F843" s="0" t="s">
        <v>782</v>
      </c>
      <c r="G843" s="0" t="str">
        <f aca="false">MID(D843,8,1)</f>
        <v>4</v>
      </c>
      <c r="H843" s="0" t="n">
        <v>1</v>
      </c>
    </row>
    <row r="844" customFormat="false" ht="15" hidden="false" customHeight="false" outlineLevel="0" collapsed="false">
      <c r="A844" s="0" t="s">
        <v>1089</v>
      </c>
      <c r="B844" s="0" t="n">
        <v>5</v>
      </c>
      <c r="C844" s="0" t="str">
        <f aca="false">MID(A844,4,3)</f>
        <v>LAD</v>
      </c>
      <c r="D844" s="0" t="str">
        <f aca="false">A844</f>
        <v>PX-LAD-4A-2808-040</v>
      </c>
      <c r="E844" s="0" t="str">
        <f aca="false">RIGHT(A844,3)</f>
        <v>040</v>
      </c>
      <c r="F844" s="0" t="s">
        <v>782</v>
      </c>
      <c r="G844" s="0" t="str">
        <f aca="false">MID(D844,8,1)</f>
        <v>4</v>
      </c>
      <c r="H844" s="0" t="n">
        <v>1</v>
      </c>
    </row>
    <row r="845" customFormat="false" ht="15" hidden="false" customHeight="false" outlineLevel="0" collapsed="false">
      <c r="A845" s="0" t="s">
        <v>1090</v>
      </c>
      <c r="B845" s="0" t="n">
        <v>5</v>
      </c>
      <c r="C845" s="0" t="str">
        <f aca="false">MID(A845,4,3)</f>
        <v>LAD</v>
      </c>
      <c r="D845" s="0" t="str">
        <f aca="false">LEFT(A845,18)</f>
        <v>PX-LAD-4A-2808-040</v>
      </c>
      <c r="E845" s="0" t="str">
        <f aca="false">RIGHT(A845,1)</f>
        <v>A</v>
      </c>
      <c r="F845" s="0" t="s">
        <v>782</v>
      </c>
      <c r="G845" s="0" t="str">
        <f aca="false">MID(D845,8,1)</f>
        <v>4</v>
      </c>
      <c r="H845" s="0" t="n">
        <v>1</v>
      </c>
    </row>
    <row r="846" customFormat="false" ht="15" hidden="false" customHeight="false" outlineLevel="0" collapsed="false">
      <c r="A846" s="0" t="s">
        <v>1091</v>
      </c>
      <c r="B846" s="0" t="n">
        <v>5</v>
      </c>
      <c r="C846" s="0" t="str">
        <f aca="false">MID(A846,4,3)</f>
        <v>LAD</v>
      </c>
      <c r="D846" s="0" t="str">
        <f aca="false">LEFT(A846,18)</f>
        <v>PX-LAD-4A-2808-040</v>
      </c>
      <c r="E846" s="0" t="str">
        <f aca="false">RIGHT(A846,1)</f>
        <v>B</v>
      </c>
      <c r="F846" s="0" t="s">
        <v>782</v>
      </c>
      <c r="G846" s="0" t="str">
        <f aca="false">MID(D846,8,1)</f>
        <v>4</v>
      </c>
      <c r="H846" s="0" t="n">
        <v>1</v>
      </c>
    </row>
    <row r="847" customFormat="false" ht="15" hidden="false" customHeight="false" outlineLevel="0" collapsed="false">
      <c r="A847" s="0" t="s">
        <v>1092</v>
      </c>
      <c r="B847" s="0" t="n">
        <v>5</v>
      </c>
      <c r="C847" s="0" t="str">
        <f aca="false">MID(A847,4,3)</f>
        <v>LAD</v>
      </c>
      <c r="D847" s="0" t="str">
        <f aca="false">LEFT(A847,18)</f>
        <v>PX-LAD-4A-2808-040</v>
      </c>
      <c r="E847" s="0" t="str">
        <f aca="false">RIGHT(A847,1)</f>
        <v>C</v>
      </c>
      <c r="F847" s="0" t="s">
        <v>782</v>
      </c>
      <c r="G847" s="0" t="str">
        <f aca="false">MID(D847,8,1)</f>
        <v>4</v>
      </c>
      <c r="H847" s="0" t="n">
        <v>1</v>
      </c>
    </row>
    <row r="848" customFormat="false" ht="15" hidden="false" customHeight="false" outlineLevel="0" collapsed="false">
      <c r="A848" s="0" t="s">
        <v>1093</v>
      </c>
      <c r="B848" s="0" t="n">
        <v>5</v>
      </c>
      <c r="C848" s="0" t="str">
        <f aca="false">MID(A848,4,3)</f>
        <v>LAD</v>
      </c>
      <c r="D848" s="0" t="str">
        <f aca="false">LEFT(A848,18)</f>
        <v>PX-LAD-4A-2808-040</v>
      </c>
      <c r="E848" s="0" t="str">
        <f aca="false">RIGHT(A848,1)</f>
        <v>D</v>
      </c>
      <c r="F848" s="0" t="s">
        <v>782</v>
      </c>
      <c r="G848" s="0" t="str">
        <f aca="false">MID(D848,8,1)</f>
        <v>4</v>
      </c>
      <c r="H848" s="0" t="n">
        <v>1</v>
      </c>
    </row>
    <row r="849" customFormat="false" ht="15" hidden="false" customHeight="false" outlineLevel="0" collapsed="false">
      <c r="A849" s="0" t="s">
        <v>1094</v>
      </c>
      <c r="B849" s="0" t="n">
        <v>5</v>
      </c>
      <c r="C849" s="0" t="str">
        <f aca="false">MID(A849,4,3)</f>
        <v>LAD</v>
      </c>
      <c r="D849" s="0" t="str">
        <f aca="false">LEFT(A849,18)</f>
        <v>PX-LAD-4A-2808-040</v>
      </c>
      <c r="E849" s="0" t="str">
        <f aca="false">RIGHT(A849,1)</f>
        <v>E</v>
      </c>
      <c r="F849" s="0" t="s">
        <v>782</v>
      </c>
      <c r="G849" s="0" t="str">
        <f aca="false">MID(D849,8,1)</f>
        <v>4</v>
      </c>
      <c r="H849" s="0" t="n">
        <v>1</v>
      </c>
    </row>
    <row r="850" customFormat="false" ht="15" hidden="false" customHeight="false" outlineLevel="0" collapsed="false">
      <c r="A850" s="0" t="s">
        <v>1095</v>
      </c>
      <c r="B850" s="0" t="n">
        <v>5</v>
      </c>
      <c r="C850" s="0" t="str">
        <f aca="false">MID(A850,4,3)</f>
        <v>LAD</v>
      </c>
      <c r="D850" s="0" t="str">
        <f aca="false">A850</f>
        <v>PX-LAD-4A-2808-080</v>
      </c>
      <c r="E850" s="0" t="str">
        <f aca="false">RIGHT(A850,3)</f>
        <v>080</v>
      </c>
      <c r="F850" s="0" t="s">
        <v>782</v>
      </c>
      <c r="G850" s="0" t="str">
        <f aca="false">MID(D850,8,1)</f>
        <v>4</v>
      </c>
      <c r="H850" s="0" t="n">
        <v>1</v>
      </c>
    </row>
    <row r="851" customFormat="false" ht="15" hidden="false" customHeight="false" outlineLevel="0" collapsed="false">
      <c r="A851" s="0" t="s">
        <v>1096</v>
      </c>
      <c r="B851" s="0" t="n">
        <v>5</v>
      </c>
      <c r="C851" s="0" t="str">
        <f aca="false">MID(A851,4,3)</f>
        <v>LAD</v>
      </c>
      <c r="D851" s="0" t="str">
        <f aca="false">LEFT(A851,18)</f>
        <v>PX-LAD-4A-2808-080</v>
      </c>
      <c r="E851" s="0" t="str">
        <f aca="false">RIGHT(A851,1)</f>
        <v>A</v>
      </c>
      <c r="F851" s="0" t="s">
        <v>782</v>
      </c>
      <c r="G851" s="0" t="str">
        <f aca="false">MID(D851,8,1)</f>
        <v>4</v>
      </c>
      <c r="H851" s="0" t="n">
        <v>1</v>
      </c>
    </row>
    <row r="852" customFormat="false" ht="15" hidden="false" customHeight="false" outlineLevel="0" collapsed="false">
      <c r="A852" s="0" t="s">
        <v>1097</v>
      </c>
      <c r="B852" s="0" t="n">
        <v>5</v>
      </c>
      <c r="C852" s="0" t="str">
        <f aca="false">MID(A852,4,3)</f>
        <v>LAD</v>
      </c>
      <c r="D852" s="0" t="str">
        <f aca="false">LEFT(A852,18)</f>
        <v>PX-LAD-4A-2808-080</v>
      </c>
      <c r="E852" s="0" t="str">
        <f aca="false">RIGHT(A852,1)</f>
        <v>B</v>
      </c>
      <c r="F852" s="0" t="s">
        <v>782</v>
      </c>
      <c r="G852" s="0" t="str">
        <f aca="false">MID(D852,8,1)</f>
        <v>4</v>
      </c>
      <c r="H852" s="0" t="n">
        <v>1</v>
      </c>
    </row>
    <row r="853" customFormat="false" ht="15" hidden="false" customHeight="false" outlineLevel="0" collapsed="false">
      <c r="A853" s="0" t="s">
        <v>1098</v>
      </c>
      <c r="B853" s="0" t="n">
        <v>5</v>
      </c>
      <c r="C853" s="0" t="str">
        <f aca="false">MID(A853,4,3)</f>
        <v>LAD</v>
      </c>
      <c r="D853" s="0" t="str">
        <f aca="false">LEFT(A853,18)</f>
        <v>PX-LAD-4A-2808-080</v>
      </c>
      <c r="E853" s="0" t="str">
        <f aca="false">RIGHT(A853,1)</f>
        <v>C</v>
      </c>
      <c r="F853" s="0" t="s">
        <v>782</v>
      </c>
      <c r="G853" s="0" t="str">
        <f aca="false">MID(D853,8,1)</f>
        <v>4</v>
      </c>
      <c r="H853" s="0" t="n">
        <v>1</v>
      </c>
    </row>
    <row r="854" customFormat="false" ht="15" hidden="false" customHeight="false" outlineLevel="0" collapsed="false">
      <c r="A854" s="0" t="s">
        <v>1099</v>
      </c>
      <c r="B854" s="0" t="n">
        <v>5</v>
      </c>
      <c r="C854" s="0" t="str">
        <f aca="false">MID(A854,4,3)</f>
        <v>LAD</v>
      </c>
      <c r="D854" s="0" t="str">
        <f aca="false">LEFT(A854,18)</f>
        <v>PX-LAD-4A-2808-080</v>
      </c>
      <c r="E854" s="0" t="str">
        <f aca="false">RIGHT(A854,1)</f>
        <v>D</v>
      </c>
      <c r="F854" s="0" t="s">
        <v>782</v>
      </c>
      <c r="G854" s="0" t="str">
        <f aca="false">MID(D854,8,1)</f>
        <v>4</v>
      </c>
      <c r="H854" s="0" t="n">
        <v>1</v>
      </c>
    </row>
    <row r="855" customFormat="false" ht="15" hidden="false" customHeight="false" outlineLevel="0" collapsed="false">
      <c r="A855" s="0" t="s">
        <v>1100</v>
      </c>
      <c r="B855" s="0" t="n">
        <v>5</v>
      </c>
      <c r="C855" s="0" t="str">
        <f aca="false">MID(A855,4,3)</f>
        <v>LAD</v>
      </c>
      <c r="D855" s="0" t="str">
        <f aca="false">LEFT(A855,18)</f>
        <v>PX-LAD-4A-2808-080</v>
      </c>
      <c r="E855" s="0" t="str">
        <f aca="false">RIGHT(A855,1)</f>
        <v>E</v>
      </c>
      <c r="F855" s="0" t="s">
        <v>782</v>
      </c>
      <c r="G855" s="0" t="str">
        <f aca="false">MID(D855,8,1)</f>
        <v>4</v>
      </c>
      <c r="H855" s="0" t="n">
        <v>1</v>
      </c>
    </row>
    <row r="856" customFormat="false" ht="15" hidden="false" customHeight="false" outlineLevel="0" collapsed="false">
      <c r="A856" s="0" t="s">
        <v>1101</v>
      </c>
      <c r="B856" s="0" t="n">
        <v>5</v>
      </c>
      <c r="C856" s="0" t="str">
        <f aca="false">MID(A856,4,3)</f>
        <v>LAD</v>
      </c>
      <c r="D856" s="0" t="str">
        <f aca="false">A856</f>
        <v>PX-LAD-4A-2808-100</v>
      </c>
      <c r="E856" s="0" t="str">
        <f aca="false">RIGHT(A856,3)</f>
        <v>100</v>
      </c>
      <c r="F856" s="0" t="s">
        <v>782</v>
      </c>
      <c r="G856" s="0" t="str">
        <f aca="false">MID(D856,8,1)</f>
        <v>4</v>
      </c>
      <c r="H856" s="0" t="n">
        <v>1</v>
      </c>
    </row>
    <row r="857" customFormat="false" ht="15" hidden="false" customHeight="false" outlineLevel="0" collapsed="false">
      <c r="A857" s="0" t="s">
        <v>1102</v>
      </c>
      <c r="B857" s="0" t="n">
        <v>5</v>
      </c>
      <c r="C857" s="0" t="str">
        <f aca="false">MID(A857,4,3)</f>
        <v>LAD</v>
      </c>
      <c r="D857" s="0" t="str">
        <f aca="false">LEFT(A857,18)</f>
        <v>PX-LAD-4A-2808-100</v>
      </c>
      <c r="E857" s="0" t="str">
        <f aca="false">RIGHT(A857,1)</f>
        <v>A</v>
      </c>
      <c r="F857" s="0" t="s">
        <v>782</v>
      </c>
      <c r="G857" s="0" t="str">
        <f aca="false">MID(D857,8,1)</f>
        <v>4</v>
      </c>
      <c r="H857" s="0" t="n">
        <v>1</v>
      </c>
    </row>
    <row r="858" customFormat="false" ht="15" hidden="false" customHeight="false" outlineLevel="0" collapsed="false">
      <c r="A858" s="0" t="s">
        <v>1103</v>
      </c>
      <c r="B858" s="0" t="n">
        <v>5</v>
      </c>
      <c r="C858" s="0" t="str">
        <f aca="false">MID(A858,4,3)</f>
        <v>LAD</v>
      </c>
      <c r="D858" s="0" t="str">
        <f aca="false">LEFT(A858,18)</f>
        <v>PX-LAD-4A-2808-100</v>
      </c>
      <c r="E858" s="0" t="str">
        <f aca="false">RIGHT(A858,1)</f>
        <v>B</v>
      </c>
      <c r="F858" s="0" t="s">
        <v>782</v>
      </c>
      <c r="G858" s="0" t="str">
        <f aca="false">MID(D858,8,1)</f>
        <v>4</v>
      </c>
      <c r="H858" s="0" t="n">
        <v>1</v>
      </c>
    </row>
    <row r="859" customFormat="false" ht="15" hidden="false" customHeight="false" outlineLevel="0" collapsed="false">
      <c r="A859" s="0" t="s">
        <v>1104</v>
      </c>
      <c r="B859" s="0" t="n">
        <v>5</v>
      </c>
      <c r="C859" s="0" t="str">
        <f aca="false">MID(A859,4,3)</f>
        <v>LAD</v>
      </c>
      <c r="D859" s="0" t="str">
        <f aca="false">LEFT(A859,18)</f>
        <v>PX-LAD-4A-2808-100</v>
      </c>
      <c r="E859" s="0" t="str">
        <f aca="false">RIGHT(A859,1)</f>
        <v>C</v>
      </c>
      <c r="F859" s="0" t="s">
        <v>782</v>
      </c>
      <c r="G859" s="0" t="str">
        <f aca="false">MID(D859,8,1)</f>
        <v>4</v>
      </c>
      <c r="H859" s="0" t="n">
        <v>1</v>
      </c>
    </row>
    <row r="860" customFormat="false" ht="15" hidden="false" customHeight="false" outlineLevel="0" collapsed="false">
      <c r="A860" s="0" t="s">
        <v>1105</v>
      </c>
      <c r="B860" s="0" t="n">
        <v>5</v>
      </c>
      <c r="C860" s="0" t="str">
        <f aca="false">MID(A860,4,3)</f>
        <v>LAD</v>
      </c>
      <c r="D860" s="0" t="str">
        <f aca="false">LEFT(A860,18)</f>
        <v>PX-LAD-4A-2808-100</v>
      </c>
      <c r="E860" s="0" t="str">
        <f aca="false">RIGHT(A860,1)</f>
        <v>D</v>
      </c>
      <c r="F860" s="0" t="s">
        <v>782</v>
      </c>
      <c r="G860" s="0" t="str">
        <f aca="false">MID(D860,8,1)</f>
        <v>4</v>
      </c>
      <c r="H860" s="0" t="n">
        <v>1</v>
      </c>
    </row>
    <row r="861" customFormat="false" ht="15" hidden="false" customHeight="false" outlineLevel="0" collapsed="false">
      <c r="A861" s="0" t="s">
        <v>1106</v>
      </c>
      <c r="B861" s="0" t="n">
        <v>5</v>
      </c>
      <c r="C861" s="0" t="str">
        <f aca="false">MID(A861,4,3)</f>
        <v>LAD</v>
      </c>
      <c r="D861" s="0" t="str">
        <f aca="false">LEFT(A861,18)</f>
        <v>PX-LAD-4A-2808-100</v>
      </c>
      <c r="E861" s="0" t="str">
        <f aca="false">RIGHT(A861,1)</f>
        <v>E</v>
      </c>
      <c r="F861" s="0" t="s">
        <v>782</v>
      </c>
      <c r="G861" s="0" t="str">
        <f aca="false">MID(D861,8,1)</f>
        <v>4</v>
      </c>
      <c r="H861" s="0" t="n">
        <v>1</v>
      </c>
    </row>
    <row r="862" customFormat="false" ht="15" hidden="false" customHeight="false" outlineLevel="0" collapsed="false">
      <c r="A862" s="0" t="s">
        <v>1107</v>
      </c>
      <c r="B862" s="0" t="n">
        <v>5</v>
      </c>
      <c r="C862" s="0" t="str">
        <f aca="false">MID(A862,4,3)</f>
        <v>LAD</v>
      </c>
      <c r="D862" s="0" t="str">
        <f aca="false">A862</f>
        <v>PX-LAD-4A-2809-000</v>
      </c>
      <c r="E862" s="0" t="str">
        <f aca="false">RIGHT(A862,3)</f>
        <v>000</v>
      </c>
      <c r="F862" s="0" t="s">
        <v>782</v>
      </c>
      <c r="G862" s="0" t="str">
        <f aca="false">MID(D862,8,1)</f>
        <v>4</v>
      </c>
      <c r="H862" s="0" t="n">
        <v>1</v>
      </c>
    </row>
    <row r="863" customFormat="false" ht="15" hidden="false" customHeight="false" outlineLevel="0" collapsed="false">
      <c r="A863" s="0" t="s">
        <v>1108</v>
      </c>
      <c r="B863" s="0" t="n">
        <v>5</v>
      </c>
      <c r="C863" s="0" t="str">
        <f aca="false">MID(A863,4,3)</f>
        <v>LAD</v>
      </c>
      <c r="D863" s="0" t="str">
        <f aca="false">LEFT(A863,18)</f>
        <v>PX-LAD-4A-2809-000</v>
      </c>
      <c r="E863" s="0" t="str">
        <f aca="false">RIGHT(A863,1)</f>
        <v>A</v>
      </c>
      <c r="F863" s="0" t="s">
        <v>782</v>
      </c>
      <c r="G863" s="0" t="str">
        <f aca="false">MID(D863,8,1)</f>
        <v>4</v>
      </c>
      <c r="H863" s="0" t="n">
        <v>1</v>
      </c>
    </row>
    <row r="864" customFormat="false" ht="15" hidden="false" customHeight="false" outlineLevel="0" collapsed="false">
      <c r="A864" s="0" t="s">
        <v>1109</v>
      </c>
      <c r="B864" s="0" t="n">
        <v>5</v>
      </c>
      <c r="C864" s="0" t="str">
        <f aca="false">MID(A864,4,3)</f>
        <v>LAD</v>
      </c>
      <c r="D864" s="0" t="str">
        <f aca="false">LEFT(A864,18)</f>
        <v>PX-LAD-4A-2809-000</v>
      </c>
      <c r="E864" s="0" t="str">
        <f aca="false">RIGHT(A864,1)</f>
        <v>B</v>
      </c>
      <c r="F864" s="0" t="s">
        <v>782</v>
      </c>
      <c r="G864" s="0" t="str">
        <f aca="false">MID(D864,8,1)</f>
        <v>4</v>
      </c>
      <c r="H864" s="0" t="n">
        <v>1</v>
      </c>
    </row>
    <row r="865" customFormat="false" ht="15" hidden="false" customHeight="false" outlineLevel="0" collapsed="false">
      <c r="A865" s="0" t="s">
        <v>1110</v>
      </c>
      <c r="B865" s="0" t="n">
        <v>5</v>
      </c>
      <c r="C865" s="0" t="str">
        <f aca="false">MID(A865,4,3)</f>
        <v>LAD</v>
      </c>
      <c r="D865" s="0" t="str">
        <f aca="false">LEFT(A865,18)</f>
        <v>PX-LAD-4A-2809-000</v>
      </c>
      <c r="E865" s="0" t="str">
        <f aca="false">RIGHT(A865,1)</f>
        <v>C</v>
      </c>
      <c r="F865" s="0" t="s">
        <v>782</v>
      </c>
      <c r="G865" s="0" t="str">
        <f aca="false">MID(D865,8,1)</f>
        <v>4</v>
      </c>
      <c r="H865" s="0" t="n">
        <v>1</v>
      </c>
    </row>
    <row r="866" customFormat="false" ht="15" hidden="false" customHeight="false" outlineLevel="0" collapsed="false">
      <c r="A866" s="0" t="s">
        <v>1111</v>
      </c>
      <c r="B866" s="0" t="n">
        <v>5</v>
      </c>
      <c r="C866" s="0" t="str">
        <f aca="false">MID(A866,4,3)</f>
        <v>LAD</v>
      </c>
      <c r="D866" s="0" t="str">
        <f aca="false">A866</f>
        <v>PX-LAD-4A-2809-050</v>
      </c>
      <c r="E866" s="0" t="str">
        <f aca="false">RIGHT(A866,3)</f>
        <v>050</v>
      </c>
      <c r="F866" s="0" t="s">
        <v>782</v>
      </c>
      <c r="G866" s="0" t="str">
        <f aca="false">MID(D866,8,1)</f>
        <v>4</v>
      </c>
      <c r="H866" s="0" t="n">
        <v>1</v>
      </c>
    </row>
    <row r="867" customFormat="false" ht="15" hidden="false" customHeight="false" outlineLevel="0" collapsed="false">
      <c r="A867" s="0" t="s">
        <v>1112</v>
      </c>
      <c r="B867" s="0" t="n">
        <v>5</v>
      </c>
      <c r="C867" s="0" t="str">
        <f aca="false">MID(A867,4,3)</f>
        <v>LAD</v>
      </c>
      <c r="D867" s="0" t="str">
        <f aca="false">LEFT(A867,18)</f>
        <v>PX-LAD-4A-2809-050</v>
      </c>
      <c r="E867" s="0" t="str">
        <f aca="false">RIGHT(A867,1)</f>
        <v>A</v>
      </c>
      <c r="F867" s="0" t="s">
        <v>782</v>
      </c>
      <c r="G867" s="0" t="str">
        <f aca="false">MID(D867,8,1)</f>
        <v>4</v>
      </c>
      <c r="H867" s="0" t="n">
        <v>1</v>
      </c>
    </row>
    <row r="868" customFormat="false" ht="15" hidden="false" customHeight="false" outlineLevel="0" collapsed="false">
      <c r="A868" s="0" t="s">
        <v>1113</v>
      </c>
      <c r="B868" s="0" t="n">
        <v>5</v>
      </c>
      <c r="C868" s="0" t="str">
        <f aca="false">MID(A868,4,3)</f>
        <v>LAD</v>
      </c>
      <c r="D868" s="0" t="str">
        <f aca="false">LEFT(A868,18)</f>
        <v>PX-LAD-4A-2809-050</v>
      </c>
      <c r="E868" s="0" t="str">
        <f aca="false">RIGHT(A868,1)</f>
        <v>B</v>
      </c>
      <c r="F868" s="0" t="s">
        <v>782</v>
      </c>
      <c r="G868" s="0" t="str">
        <f aca="false">MID(D868,8,1)</f>
        <v>4</v>
      </c>
      <c r="H868" s="0" t="n">
        <v>1</v>
      </c>
    </row>
    <row r="869" customFormat="false" ht="15" hidden="false" customHeight="false" outlineLevel="0" collapsed="false">
      <c r="A869" s="0" t="s">
        <v>1114</v>
      </c>
      <c r="B869" s="0" t="n">
        <v>5</v>
      </c>
      <c r="C869" s="0" t="str">
        <f aca="false">MID(A869,4,3)</f>
        <v>LAD</v>
      </c>
      <c r="D869" s="0" t="str">
        <f aca="false">LEFT(A869,18)</f>
        <v>PX-LAD-4A-2809-050</v>
      </c>
      <c r="E869" s="0" t="str">
        <f aca="false">RIGHT(A869,1)</f>
        <v>C</v>
      </c>
      <c r="F869" s="0" t="s">
        <v>782</v>
      </c>
      <c r="G869" s="0" t="str">
        <f aca="false">MID(D869,8,1)</f>
        <v>4</v>
      </c>
      <c r="H869" s="0" t="n">
        <v>1</v>
      </c>
    </row>
    <row r="870" customFormat="false" ht="15" hidden="false" customHeight="false" outlineLevel="0" collapsed="false">
      <c r="A870" s="0" t="s">
        <v>1115</v>
      </c>
      <c r="B870" s="0" t="n">
        <v>5</v>
      </c>
      <c r="C870" s="0" t="str">
        <f aca="false">MID(A870,4,3)</f>
        <v>LAD</v>
      </c>
      <c r="D870" s="0" t="str">
        <f aca="false">A870</f>
        <v>PX-LAD-4A-2809-100</v>
      </c>
      <c r="E870" s="0" t="str">
        <f aca="false">RIGHT(A870,3)</f>
        <v>100</v>
      </c>
      <c r="F870" s="0" t="s">
        <v>782</v>
      </c>
      <c r="G870" s="0" t="str">
        <f aca="false">MID(D870,8,1)</f>
        <v>4</v>
      </c>
      <c r="H870" s="0" t="n">
        <v>1</v>
      </c>
    </row>
    <row r="871" customFormat="false" ht="15" hidden="false" customHeight="false" outlineLevel="0" collapsed="false">
      <c r="A871" s="0" t="s">
        <v>1116</v>
      </c>
      <c r="B871" s="0" t="n">
        <v>5</v>
      </c>
      <c r="C871" s="0" t="str">
        <f aca="false">MID(A871,4,3)</f>
        <v>LAD</v>
      </c>
      <c r="D871" s="0" t="str">
        <f aca="false">LEFT(A871,18)</f>
        <v>PX-LAD-4A-2809-100</v>
      </c>
      <c r="E871" s="0" t="str">
        <f aca="false">RIGHT(A871,1)</f>
        <v>A</v>
      </c>
      <c r="F871" s="0" t="s">
        <v>782</v>
      </c>
      <c r="G871" s="0" t="str">
        <f aca="false">MID(D871,8,1)</f>
        <v>4</v>
      </c>
      <c r="H871" s="0" t="n">
        <v>1</v>
      </c>
    </row>
    <row r="872" customFormat="false" ht="15" hidden="false" customHeight="false" outlineLevel="0" collapsed="false">
      <c r="A872" s="0" t="s">
        <v>1117</v>
      </c>
      <c r="B872" s="0" t="n">
        <v>5</v>
      </c>
      <c r="C872" s="0" t="str">
        <f aca="false">MID(A872,4,3)</f>
        <v>LAD</v>
      </c>
      <c r="D872" s="0" t="str">
        <f aca="false">LEFT(A872,18)</f>
        <v>PX-LAD-4A-2809-100</v>
      </c>
      <c r="E872" s="0" t="str">
        <f aca="false">RIGHT(A872,1)</f>
        <v>B</v>
      </c>
      <c r="F872" s="0" t="s">
        <v>782</v>
      </c>
      <c r="G872" s="0" t="str">
        <f aca="false">MID(D872,8,1)</f>
        <v>4</v>
      </c>
      <c r="H872" s="0" t="n">
        <v>1</v>
      </c>
    </row>
    <row r="873" customFormat="false" ht="15" hidden="false" customHeight="false" outlineLevel="0" collapsed="false">
      <c r="A873" s="0" t="s">
        <v>1118</v>
      </c>
      <c r="B873" s="0" t="n">
        <v>5</v>
      </c>
      <c r="C873" s="0" t="str">
        <f aca="false">MID(A873,4,3)</f>
        <v>LAD</v>
      </c>
      <c r="D873" s="0" t="str">
        <f aca="false">LEFT(A873,18)</f>
        <v>PX-LAD-4A-2809-100</v>
      </c>
      <c r="E873" s="0" t="str">
        <f aca="false">RIGHT(A873,1)</f>
        <v>C</v>
      </c>
      <c r="F873" s="0" t="s">
        <v>782</v>
      </c>
      <c r="G873" s="0" t="str">
        <f aca="false">MID(D873,8,1)</f>
        <v>4</v>
      </c>
      <c r="H873" s="0" t="n">
        <v>1</v>
      </c>
    </row>
    <row r="874" customFormat="false" ht="15" hidden="false" customHeight="false" outlineLevel="0" collapsed="false">
      <c r="A874" s="0" t="s">
        <v>1119</v>
      </c>
      <c r="B874" s="0" t="n">
        <v>5</v>
      </c>
      <c r="C874" s="0" t="str">
        <f aca="false">MID(A874,4,3)</f>
        <v>LAD</v>
      </c>
      <c r="D874" s="0" t="str">
        <f aca="false">A874</f>
        <v>PX-LAD-4A-2810-000</v>
      </c>
      <c r="E874" s="0" t="str">
        <f aca="false">RIGHT(A874,3)</f>
        <v>000</v>
      </c>
      <c r="F874" s="0" t="s">
        <v>782</v>
      </c>
      <c r="G874" s="0" t="str">
        <f aca="false">MID(D874,8,1)</f>
        <v>4</v>
      </c>
      <c r="H874" s="0" t="n">
        <v>1</v>
      </c>
    </row>
    <row r="875" customFormat="false" ht="15" hidden="false" customHeight="false" outlineLevel="0" collapsed="false">
      <c r="A875" s="0" t="s">
        <v>1120</v>
      </c>
      <c r="B875" s="0" t="n">
        <v>5</v>
      </c>
      <c r="C875" s="0" t="str">
        <f aca="false">MID(A875,4,3)</f>
        <v>LAD</v>
      </c>
      <c r="D875" s="0" t="str">
        <f aca="false">LEFT(A875,18)</f>
        <v>PX-LAD-4A-2810-000</v>
      </c>
      <c r="E875" s="0" t="str">
        <f aca="false">RIGHT(A875,1)</f>
        <v>A</v>
      </c>
      <c r="F875" s="0" t="s">
        <v>782</v>
      </c>
      <c r="G875" s="0" t="str">
        <f aca="false">MID(D875,8,1)</f>
        <v>4</v>
      </c>
      <c r="H875" s="0" t="n">
        <v>1</v>
      </c>
    </row>
    <row r="876" customFormat="false" ht="15" hidden="false" customHeight="false" outlineLevel="0" collapsed="false">
      <c r="A876" s="0" t="s">
        <v>1121</v>
      </c>
      <c r="B876" s="0" t="n">
        <v>5</v>
      </c>
      <c r="C876" s="0" t="str">
        <f aca="false">MID(A876,4,3)</f>
        <v>LAD</v>
      </c>
      <c r="D876" s="0" t="str">
        <f aca="false">LEFT(A876,18)</f>
        <v>PX-LAD-4A-2810-000</v>
      </c>
      <c r="E876" s="0" t="str">
        <f aca="false">RIGHT(A876,1)</f>
        <v>B</v>
      </c>
      <c r="F876" s="0" t="s">
        <v>782</v>
      </c>
      <c r="G876" s="0" t="str">
        <f aca="false">MID(D876,8,1)</f>
        <v>4</v>
      </c>
      <c r="H876" s="0" t="n">
        <v>1</v>
      </c>
    </row>
    <row r="877" customFormat="false" ht="15" hidden="false" customHeight="false" outlineLevel="0" collapsed="false">
      <c r="A877" s="0" t="s">
        <v>1122</v>
      </c>
      <c r="B877" s="0" t="n">
        <v>5</v>
      </c>
      <c r="C877" s="0" t="str">
        <f aca="false">MID(A877,4,3)</f>
        <v>LAD</v>
      </c>
      <c r="D877" s="0" t="str">
        <f aca="false">LEFT(A877,18)</f>
        <v>PX-LAD-4A-2810-000</v>
      </c>
      <c r="E877" s="0" t="str">
        <f aca="false">RIGHT(A877,1)</f>
        <v>C</v>
      </c>
      <c r="F877" s="0" t="s">
        <v>782</v>
      </c>
      <c r="G877" s="0" t="str">
        <f aca="false">MID(D877,8,1)</f>
        <v>4</v>
      </c>
      <c r="H877" s="0" t="n">
        <v>1</v>
      </c>
    </row>
    <row r="878" customFormat="false" ht="15" hidden="false" customHeight="false" outlineLevel="0" collapsed="false">
      <c r="A878" s="0" t="s">
        <v>1123</v>
      </c>
      <c r="B878" s="0" t="n">
        <v>5</v>
      </c>
      <c r="C878" s="0" t="str">
        <f aca="false">MID(A878,4,3)</f>
        <v>LAD</v>
      </c>
      <c r="D878" s="0" t="str">
        <f aca="false">LEFT(A878,18)</f>
        <v>PX-LAD-4A-2810-000</v>
      </c>
      <c r="E878" s="0" t="str">
        <f aca="false">RIGHT(A878,1)</f>
        <v>D</v>
      </c>
      <c r="F878" s="0" t="s">
        <v>782</v>
      </c>
      <c r="G878" s="0" t="str">
        <f aca="false">MID(D878,8,1)</f>
        <v>4</v>
      </c>
      <c r="H878" s="0" t="n">
        <v>1</v>
      </c>
    </row>
    <row r="879" customFormat="false" ht="15" hidden="false" customHeight="false" outlineLevel="0" collapsed="false">
      <c r="A879" s="0" t="s">
        <v>1124</v>
      </c>
      <c r="B879" s="0" t="n">
        <v>5</v>
      </c>
      <c r="C879" s="0" t="str">
        <f aca="false">MID(A879,4,3)</f>
        <v>LAD</v>
      </c>
      <c r="D879" s="0" t="str">
        <f aca="false">LEFT(A879,18)</f>
        <v>PX-LAD-4A-2810-000</v>
      </c>
      <c r="E879" s="0" t="str">
        <f aca="false">RIGHT(A879,1)</f>
        <v>E</v>
      </c>
      <c r="F879" s="0" t="s">
        <v>782</v>
      </c>
      <c r="G879" s="0" t="str">
        <f aca="false">MID(D879,8,1)</f>
        <v>4</v>
      </c>
      <c r="H879" s="0" t="n">
        <v>1</v>
      </c>
    </row>
    <row r="880" customFormat="false" ht="15" hidden="false" customHeight="false" outlineLevel="0" collapsed="false">
      <c r="A880" s="0" t="s">
        <v>1125</v>
      </c>
      <c r="B880" s="0" t="n">
        <v>5</v>
      </c>
      <c r="C880" s="0" t="str">
        <f aca="false">MID(A880,4,3)</f>
        <v>LAD</v>
      </c>
      <c r="D880" s="0" t="str">
        <f aca="false">A880</f>
        <v>PX-LAD-4A-2810-040</v>
      </c>
      <c r="E880" s="0" t="str">
        <f aca="false">RIGHT(A880,3)</f>
        <v>040</v>
      </c>
      <c r="F880" s="0" t="s">
        <v>782</v>
      </c>
      <c r="G880" s="0" t="str">
        <f aca="false">MID(D880,8,1)</f>
        <v>4</v>
      </c>
      <c r="H880" s="0" t="n">
        <v>1</v>
      </c>
    </row>
    <row r="881" customFormat="false" ht="15" hidden="false" customHeight="false" outlineLevel="0" collapsed="false">
      <c r="A881" s="0" t="s">
        <v>1126</v>
      </c>
      <c r="B881" s="0" t="n">
        <v>5</v>
      </c>
      <c r="C881" s="0" t="str">
        <f aca="false">MID(A881,4,3)</f>
        <v>LAD</v>
      </c>
      <c r="D881" s="0" t="str">
        <f aca="false">LEFT(A881,18)</f>
        <v>PX-LAD-4A-2810-040</v>
      </c>
      <c r="E881" s="0" t="str">
        <f aca="false">RIGHT(A881,1)</f>
        <v>A</v>
      </c>
      <c r="F881" s="0" t="s">
        <v>782</v>
      </c>
      <c r="G881" s="0" t="str">
        <f aca="false">MID(D881,8,1)</f>
        <v>4</v>
      </c>
      <c r="H881" s="0" t="n">
        <v>1</v>
      </c>
    </row>
    <row r="882" customFormat="false" ht="15" hidden="false" customHeight="false" outlineLevel="0" collapsed="false">
      <c r="A882" s="0" t="s">
        <v>1127</v>
      </c>
      <c r="B882" s="0" t="n">
        <v>5</v>
      </c>
      <c r="C882" s="0" t="str">
        <f aca="false">MID(A882,4,3)</f>
        <v>LAD</v>
      </c>
      <c r="D882" s="0" t="str">
        <f aca="false">LEFT(A882,18)</f>
        <v>PX-LAD-4A-2810-040</v>
      </c>
      <c r="E882" s="0" t="str">
        <f aca="false">RIGHT(A882,1)</f>
        <v>B</v>
      </c>
      <c r="F882" s="0" t="s">
        <v>782</v>
      </c>
      <c r="G882" s="0" t="str">
        <f aca="false">MID(D882,8,1)</f>
        <v>4</v>
      </c>
      <c r="H882" s="0" t="n">
        <v>1</v>
      </c>
    </row>
    <row r="883" customFormat="false" ht="15" hidden="false" customHeight="false" outlineLevel="0" collapsed="false">
      <c r="A883" s="0" t="s">
        <v>1128</v>
      </c>
      <c r="B883" s="0" t="n">
        <v>5</v>
      </c>
      <c r="C883" s="0" t="str">
        <f aca="false">MID(A883,4,3)</f>
        <v>LAD</v>
      </c>
      <c r="D883" s="0" t="str">
        <f aca="false">LEFT(A883,18)</f>
        <v>PX-LAD-4A-2810-040</v>
      </c>
      <c r="E883" s="0" t="str">
        <f aca="false">RIGHT(A883,1)</f>
        <v>C</v>
      </c>
      <c r="F883" s="0" t="s">
        <v>782</v>
      </c>
      <c r="G883" s="0" t="str">
        <f aca="false">MID(D883,8,1)</f>
        <v>4</v>
      </c>
      <c r="H883" s="0" t="n">
        <v>1</v>
      </c>
    </row>
    <row r="884" customFormat="false" ht="15" hidden="false" customHeight="false" outlineLevel="0" collapsed="false">
      <c r="A884" s="0" t="s">
        <v>1129</v>
      </c>
      <c r="B884" s="0" t="n">
        <v>5</v>
      </c>
      <c r="C884" s="0" t="str">
        <f aca="false">MID(A884,4,3)</f>
        <v>LAD</v>
      </c>
      <c r="D884" s="0" t="str">
        <f aca="false">LEFT(A884,18)</f>
        <v>PX-LAD-4A-2810-040</v>
      </c>
      <c r="E884" s="0" t="str">
        <f aca="false">RIGHT(A884,1)</f>
        <v>D</v>
      </c>
      <c r="F884" s="0" t="s">
        <v>782</v>
      </c>
      <c r="G884" s="0" t="str">
        <f aca="false">MID(D884,8,1)</f>
        <v>4</v>
      </c>
      <c r="H884" s="0" t="n">
        <v>1</v>
      </c>
    </row>
    <row r="885" customFormat="false" ht="15" hidden="false" customHeight="false" outlineLevel="0" collapsed="false">
      <c r="A885" s="0" t="s">
        <v>1130</v>
      </c>
      <c r="B885" s="0" t="n">
        <v>5</v>
      </c>
      <c r="C885" s="0" t="str">
        <f aca="false">MID(A885,4,3)</f>
        <v>LAD</v>
      </c>
      <c r="D885" s="0" t="str">
        <f aca="false">LEFT(A885,18)</f>
        <v>PX-LAD-4A-2810-040</v>
      </c>
      <c r="E885" s="0" t="str">
        <f aca="false">RIGHT(A885,1)</f>
        <v>E</v>
      </c>
      <c r="F885" s="0" t="s">
        <v>782</v>
      </c>
      <c r="G885" s="0" t="str">
        <f aca="false">MID(D885,8,1)</f>
        <v>4</v>
      </c>
      <c r="H885" s="0" t="n">
        <v>1</v>
      </c>
    </row>
    <row r="886" customFormat="false" ht="15" hidden="false" customHeight="false" outlineLevel="0" collapsed="false">
      <c r="A886" s="0" t="s">
        <v>1131</v>
      </c>
      <c r="B886" s="0" t="n">
        <v>5</v>
      </c>
      <c r="C886" s="0" t="str">
        <f aca="false">MID(A886,4,3)</f>
        <v>LAD</v>
      </c>
      <c r="D886" s="0" t="str">
        <f aca="false">A886</f>
        <v>PX-LAD-4A-2810-080</v>
      </c>
      <c r="E886" s="0" t="str">
        <f aca="false">RIGHT(A886,3)</f>
        <v>080</v>
      </c>
      <c r="F886" s="0" t="s">
        <v>782</v>
      </c>
      <c r="G886" s="0" t="str">
        <f aca="false">MID(D886,8,1)</f>
        <v>4</v>
      </c>
      <c r="H886" s="0" t="n">
        <v>1</v>
      </c>
    </row>
    <row r="887" customFormat="false" ht="15" hidden="false" customHeight="false" outlineLevel="0" collapsed="false">
      <c r="A887" s="0" t="s">
        <v>1132</v>
      </c>
      <c r="B887" s="0" t="n">
        <v>5</v>
      </c>
      <c r="C887" s="0" t="str">
        <f aca="false">MID(A887,4,3)</f>
        <v>LAD</v>
      </c>
      <c r="D887" s="0" t="str">
        <f aca="false">LEFT(A887,18)</f>
        <v>PX-LAD-4A-2810-080</v>
      </c>
      <c r="E887" s="0" t="str">
        <f aca="false">RIGHT(A887,1)</f>
        <v>A</v>
      </c>
      <c r="F887" s="0" t="s">
        <v>782</v>
      </c>
      <c r="G887" s="0" t="str">
        <f aca="false">MID(D887,8,1)</f>
        <v>4</v>
      </c>
      <c r="H887" s="0" t="n">
        <v>1</v>
      </c>
    </row>
    <row r="888" customFormat="false" ht="15" hidden="false" customHeight="false" outlineLevel="0" collapsed="false">
      <c r="A888" s="0" t="s">
        <v>1133</v>
      </c>
      <c r="B888" s="0" t="n">
        <v>5</v>
      </c>
      <c r="C888" s="0" t="str">
        <f aca="false">MID(A888,4,3)</f>
        <v>LAD</v>
      </c>
      <c r="D888" s="0" t="str">
        <f aca="false">LEFT(A888,18)</f>
        <v>PX-LAD-4A-2810-080</v>
      </c>
      <c r="E888" s="0" t="str">
        <f aca="false">RIGHT(A888,1)</f>
        <v>B</v>
      </c>
      <c r="F888" s="0" t="s">
        <v>782</v>
      </c>
      <c r="G888" s="0" t="str">
        <f aca="false">MID(D888,8,1)</f>
        <v>4</v>
      </c>
      <c r="H888" s="0" t="n">
        <v>1</v>
      </c>
    </row>
    <row r="889" customFormat="false" ht="15" hidden="false" customHeight="false" outlineLevel="0" collapsed="false">
      <c r="A889" s="0" t="s">
        <v>1134</v>
      </c>
      <c r="B889" s="0" t="n">
        <v>5</v>
      </c>
      <c r="C889" s="0" t="str">
        <f aca="false">MID(A889,4,3)</f>
        <v>LAD</v>
      </c>
      <c r="D889" s="0" t="str">
        <f aca="false">LEFT(A889,18)</f>
        <v>PX-LAD-4A-2810-080</v>
      </c>
      <c r="E889" s="0" t="str">
        <f aca="false">RIGHT(A889,1)</f>
        <v>C</v>
      </c>
      <c r="F889" s="0" t="s">
        <v>782</v>
      </c>
      <c r="G889" s="0" t="str">
        <f aca="false">MID(D889,8,1)</f>
        <v>4</v>
      </c>
      <c r="H889" s="0" t="n">
        <v>1</v>
      </c>
    </row>
    <row r="890" customFormat="false" ht="15" hidden="false" customHeight="false" outlineLevel="0" collapsed="false">
      <c r="A890" s="0" t="s">
        <v>1135</v>
      </c>
      <c r="B890" s="0" t="n">
        <v>5</v>
      </c>
      <c r="C890" s="0" t="str">
        <f aca="false">MID(A890,4,3)</f>
        <v>LAD</v>
      </c>
      <c r="D890" s="0" t="str">
        <f aca="false">LEFT(A890,18)</f>
        <v>PX-LAD-4A-2810-080</v>
      </c>
      <c r="E890" s="0" t="str">
        <f aca="false">RIGHT(A890,1)</f>
        <v>D</v>
      </c>
      <c r="F890" s="0" t="s">
        <v>782</v>
      </c>
      <c r="G890" s="0" t="str">
        <f aca="false">MID(D890,8,1)</f>
        <v>4</v>
      </c>
      <c r="H890" s="0" t="n">
        <v>1</v>
      </c>
    </row>
    <row r="891" customFormat="false" ht="15" hidden="false" customHeight="false" outlineLevel="0" collapsed="false">
      <c r="A891" s="0" t="s">
        <v>1136</v>
      </c>
      <c r="B891" s="0" t="n">
        <v>5</v>
      </c>
      <c r="C891" s="0" t="str">
        <f aca="false">MID(A891,4,3)</f>
        <v>LAD</v>
      </c>
      <c r="D891" s="0" t="str">
        <f aca="false">LEFT(A891,18)</f>
        <v>PX-LAD-4A-2810-080</v>
      </c>
      <c r="E891" s="0" t="str">
        <f aca="false">RIGHT(A891,1)</f>
        <v>E</v>
      </c>
      <c r="F891" s="0" t="s">
        <v>782</v>
      </c>
      <c r="G891" s="0" t="str">
        <f aca="false">MID(D891,8,1)</f>
        <v>4</v>
      </c>
      <c r="H891" s="0" t="n">
        <v>1</v>
      </c>
    </row>
    <row r="892" customFormat="false" ht="15" hidden="false" customHeight="false" outlineLevel="0" collapsed="false">
      <c r="A892" s="0" t="s">
        <v>1137</v>
      </c>
      <c r="B892" s="0" t="n">
        <v>5</v>
      </c>
      <c r="C892" s="0" t="str">
        <f aca="false">MID(A892,4,3)</f>
        <v>LAD</v>
      </c>
      <c r="D892" s="0" t="str">
        <f aca="false">A892</f>
        <v>PX-LAD-4A-2810-100</v>
      </c>
      <c r="E892" s="0" t="str">
        <f aca="false">RIGHT(A892,3)</f>
        <v>100</v>
      </c>
      <c r="F892" s="0" t="s">
        <v>782</v>
      </c>
      <c r="G892" s="0" t="str">
        <f aca="false">MID(D892,8,1)</f>
        <v>4</v>
      </c>
      <c r="H892" s="0" t="n">
        <v>1</v>
      </c>
    </row>
    <row r="893" customFormat="false" ht="15" hidden="false" customHeight="false" outlineLevel="0" collapsed="false">
      <c r="A893" s="0" t="s">
        <v>1138</v>
      </c>
      <c r="B893" s="0" t="n">
        <v>5</v>
      </c>
      <c r="C893" s="0" t="str">
        <f aca="false">MID(A893,4,3)</f>
        <v>LAD</v>
      </c>
      <c r="D893" s="0" t="str">
        <f aca="false">LEFT(A893,18)</f>
        <v>PX-LAD-4A-2810-100</v>
      </c>
      <c r="E893" s="0" t="str">
        <f aca="false">RIGHT(A893,1)</f>
        <v>A</v>
      </c>
      <c r="F893" s="0" t="s">
        <v>782</v>
      </c>
      <c r="G893" s="0" t="str">
        <f aca="false">MID(D893,8,1)</f>
        <v>4</v>
      </c>
      <c r="H893" s="0" t="n">
        <v>1</v>
      </c>
    </row>
    <row r="894" customFormat="false" ht="15" hidden="false" customHeight="false" outlineLevel="0" collapsed="false">
      <c r="A894" s="0" t="s">
        <v>1139</v>
      </c>
      <c r="B894" s="0" t="n">
        <v>5</v>
      </c>
      <c r="C894" s="0" t="str">
        <f aca="false">MID(A894,4,3)</f>
        <v>LAD</v>
      </c>
      <c r="D894" s="0" t="str">
        <f aca="false">LEFT(A894,18)</f>
        <v>PX-LAD-4A-2810-100</v>
      </c>
      <c r="E894" s="0" t="str">
        <f aca="false">RIGHT(A894,1)</f>
        <v>B</v>
      </c>
      <c r="F894" s="0" t="s">
        <v>782</v>
      </c>
      <c r="G894" s="0" t="str">
        <f aca="false">MID(D894,8,1)</f>
        <v>4</v>
      </c>
      <c r="H894" s="0" t="n">
        <v>1</v>
      </c>
    </row>
    <row r="895" customFormat="false" ht="15" hidden="false" customHeight="false" outlineLevel="0" collapsed="false">
      <c r="A895" s="0" t="s">
        <v>1140</v>
      </c>
      <c r="B895" s="0" t="n">
        <v>5</v>
      </c>
      <c r="C895" s="0" t="str">
        <f aca="false">MID(A895,4,3)</f>
        <v>LAD</v>
      </c>
      <c r="D895" s="0" t="str">
        <f aca="false">LEFT(A895,18)</f>
        <v>PX-LAD-4A-2810-100</v>
      </c>
      <c r="E895" s="0" t="str">
        <f aca="false">RIGHT(A895,1)</f>
        <v>C</v>
      </c>
      <c r="F895" s="0" t="s">
        <v>782</v>
      </c>
      <c r="G895" s="0" t="str">
        <f aca="false">MID(D895,8,1)</f>
        <v>4</v>
      </c>
      <c r="H895" s="0" t="n">
        <v>1</v>
      </c>
    </row>
    <row r="896" customFormat="false" ht="15" hidden="false" customHeight="false" outlineLevel="0" collapsed="false">
      <c r="A896" s="0" t="s">
        <v>1141</v>
      </c>
      <c r="B896" s="0" t="n">
        <v>5</v>
      </c>
      <c r="C896" s="0" t="str">
        <f aca="false">MID(A896,4,3)</f>
        <v>LAD</v>
      </c>
      <c r="D896" s="0" t="str">
        <f aca="false">LEFT(A896,18)</f>
        <v>PX-LAD-4A-2810-100</v>
      </c>
      <c r="E896" s="0" t="str">
        <f aca="false">RIGHT(A896,1)</f>
        <v>D</v>
      </c>
      <c r="F896" s="0" t="s">
        <v>782</v>
      </c>
      <c r="G896" s="0" t="str">
        <f aca="false">MID(D896,8,1)</f>
        <v>4</v>
      </c>
      <c r="H896" s="0" t="n">
        <v>1</v>
      </c>
    </row>
    <row r="897" customFormat="false" ht="15" hidden="false" customHeight="false" outlineLevel="0" collapsed="false">
      <c r="A897" s="0" t="s">
        <v>1142</v>
      </c>
      <c r="B897" s="0" t="n">
        <v>5</v>
      </c>
      <c r="C897" s="0" t="str">
        <f aca="false">MID(A897,4,3)</f>
        <v>LAD</v>
      </c>
      <c r="D897" s="0" t="str">
        <f aca="false">LEFT(A897,18)</f>
        <v>PX-LAD-4A-2810-100</v>
      </c>
      <c r="E897" s="0" t="str">
        <f aca="false">RIGHT(A897,1)</f>
        <v>E</v>
      </c>
      <c r="F897" s="0" t="s">
        <v>782</v>
      </c>
      <c r="G897" s="0" t="str">
        <f aca="false">MID(D897,8,1)</f>
        <v>4</v>
      </c>
      <c r="H897" s="0" t="n">
        <v>1</v>
      </c>
    </row>
    <row r="898" customFormat="false" ht="15" hidden="false" customHeight="false" outlineLevel="0" collapsed="false">
      <c r="A898" s="0" t="s">
        <v>1143</v>
      </c>
      <c r="B898" s="0" t="n">
        <v>5</v>
      </c>
      <c r="C898" s="0" t="str">
        <f aca="false">MID(A898,4,3)</f>
        <v>LAD</v>
      </c>
      <c r="D898" s="0" t="str">
        <f aca="false">LEFT(A898,18)</f>
        <v>PX-LAD-4A-2811-000</v>
      </c>
      <c r="E898" s="0" t="str">
        <f aca="false">RIGHT(A898,1)</f>
        <v>A</v>
      </c>
      <c r="F898" s="0" t="s">
        <v>782</v>
      </c>
      <c r="G898" s="0" t="str">
        <f aca="false">MID(D898,8,1)</f>
        <v>4</v>
      </c>
      <c r="H898" s="0" t="n">
        <v>1</v>
      </c>
    </row>
    <row r="899" customFormat="false" ht="15" hidden="false" customHeight="false" outlineLevel="0" collapsed="false">
      <c r="A899" s="0" t="s">
        <v>1144</v>
      </c>
      <c r="B899" s="0" t="n">
        <v>5</v>
      </c>
      <c r="C899" s="0" t="str">
        <f aca="false">MID(A899,4,3)</f>
        <v>LAD</v>
      </c>
      <c r="D899" s="0" t="str">
        <f aca="false">LEFT(A899,18)</f>
        <v>PX-LAD-4A-2811-000</v>
      </c>
      <c r="E899" s="0" t="str">
        <f aca="false">RIGHT(A899,1)</f>
        <v>B</v>
      </c>
      <c r="F899" s="0" t="s">
        <v>782</v>
      </c>
      <c r="G899" s="0" t="str">
        <f aca="false">MID(D899,8,1)</f>
        <v>4</v>
      </c>
      <c r="H899" s="0" t="n">
        <v>1</v>
      </c>
    </row>
    <row r="900" customFormat="false" ht="15" hidden="false" customHeight="false" outlineLevel="0" collapsed="false">
      <c r="A900" s="0" t="s">
        <v>1145</v>
      </c>
      <c r="B900" s="0" t="n">
        <v>5</v>
      </c>
      <c r="C900" s="0" t="str">
        <f aca="false">MID(A900,4,3)</f>
        <v>LAD</v>
      </c>
      <c r="D900" s="0" t="str">
        <f aca="false">LEFT(A900,18)</f>
        <v>PX-LAD-4A-2811-000</v>
      </c>
      <c r="E900" s="0" t="str">
        <f aca="false">RIGHT(A900,1)</f>
        <v>C</v>
      </c>
      <c r="F900" s="0" t="s">
        <v>782</v>
      </c>
      <c r="G900" s="0" t="str">
        <f aca="false">MID(D900,8,1)</f>
        <v>4</v>
      </c>
      <c r="H900" s="0" t="n">
        <v>1</v>
      </c>
    </row>
    <row r="901" customFormat="false" ht="15" hidden="false" customHeight="false" outlineLevel="0" collapsed="false">
      <c r="A901" s="0" t="s">
        <v>1146</v>
      </c>
      <c r="B901" s="0" t="n">
        <v>5</v>
      </c>
      <c r="C901" s="0" t="str">
        <f aca="false">MID(A901,4,3)</f>
        <v>LAD</v>
      </c>
      <c r="D901" s="0" t="str">
        <f aca="false">LEFT(A901,18)</f>
        <v>PX-LAD-4A-2811-000</v>
      </c>
      <c r="E901" s="0" t="str">
        <f aca="false">RIGHT(A901,1)</f>
        <v>D</v>
      </c>
      <c r="F901" s="0" t="s">
        <v>782</v>
      </c>
      <c r="G901" s="0" t="str">
        <f aca="false">MID(D901,8,1)</f>
        <v>4</v>
      </c>
      <c r="H901" s="0" t="n">
        <v>1</v>
      </c>
    </row>
    <row r="902" customFormat="false" ht="15" hidden="false" customHeight="false" outlineLevel="0" collapsed="false">
      <c r="A902" s="0" t="s">
        <v>1147</v>
      </c>
      <c r="B902" s="0" t="n">
        <v>5</v>
      </c>
      <c r="C902" s="0" t="str">
        <f aca="false">MID(A902,4,3)</f>
        <v>LAD</v>
      </c>
      <c r="D902" s="0" t="str">
        <f aca="false">LEFT(A902,18)</f>
        <v>PX-LAD-4A-2811-000</v>
      </c>
      <c r="E902" s="0" t="str">
        <f aca="false">RIGHT(A902,1)</f>
        <v>E</v>
      </c>
      <c r="F902" s="0" t="s">
        <v>782</v>
      </c>
      <c r="G902" s="0" t="str">
        <f aca="false">MID(D902,8,1)</f>
        <v>4</v>
      </c>
      <c r="H902" s="0" t="n">
        <v>1</v>
      </c>
    </row>
    <row r="903" customFormat="false" ht="15" hidden="false" customHeight="false" outlineLevel="0" collapsed="false">
      <c r="A903" s="0" t="s">
        <v>1148</v>
      </c>
      <c r="B903" s="0" t="n">
        <v>5</v>
      </c>
      <c r="C903" s="0" t="str">
        <f aca="false">MID(A903,4,3)</f>
        <v>LAD</v>
      </c>
      <c r="D903" s="0" t="str">
        <f aca="false">LEFT(A903,18)</f>
        <v>PX-LAD-4A-2811-025</v>
      </c>
      <c r="E903" s="0" t="str">
        <f aca="false">RIGHT(A903,1)</f>
        <v>A</v>
      </c>
      <c r="F903" s="0" t="s">
        <v>782</v>
      </c>
      <c r="G903" s="0" t="str">
        <f aca="false">MID(D903,8,1)</f>
        <v>4</v>
      </c>
      <c r="H903" s="0" t="n">
        <v>1</v>
      </c>
    </row>
    <row r="904" customFormat="false" ht="15" hidden="false" customHeight="false" outlineLevel="0" collapsed="false">
      <c r="A904" s="0" t="s">
        <v>1149</v>
      </c>
      <c r="B904" s="0" t="n">
        <v>5</v>
      </c>
      <c r="C904" s="0" t="str">
        <f aca="false">MID(A904,4,3)</f>
        <v>LAD</v>
      </c>
      <c r="D904" s="0" t="str">
        <f aca="false">LEFT(A904,18)</f>
        <v>PX-LAD-4A-2811-050</v>
      </c>
      <c r="E904" s="0" t="str">
        <f aca="false">RIGHT(A904,1)</f>
        <v>A</v>
      </c>
      <c r="F904" s="0" t="s">
        <v>782</v>
      </c>
      <c r="G904" s="0" t="str">
        <f aca="false">MID(D904,8,1)</f>
        <v>4</v>
      </c>
      <c r="H904" s="0" t="n">
        <v>1</v>
      </c>
    </row>
    <row r="905" customFormat="false" ht="15" hidden="false" customHeight="false" outlineLevel="0" collapsed="false">
      <c r="A905" s="0" t="s">
        <v>1150</v>
      </c>
      <c r="B905" s="0" t="n">
        <v>5</v>
      </c>
      <c r="C905" s="0" t="str">
        <f aca="false">MID(A905,4,3)</f>
        <v>LAD</v>
      </c>
      <c r="D905" s="0" t="str">
        <f aca="false">LEFT(A905,18)</f>
        <v>PX-LAD-4A-2811-050</v>
      </c>
      <c r="E905" s="0" t="str">
        <f aca="false">RIGHT(A905,1)</f>
        <v>B</v>
      </c>
      <c r="F905" s="0" t="s">
        <v>782</v>
      </c>
      <c r="G905" s="0" t="str">
        <f aca="false">MID(D905,8,1)</f>
        <v>4</v>
      </c>
      <c r="H905" s="0" t="n">
        <v>1</v>
      </c>
    </row>
    <row r="906" customFormat="false" ht="15" hidden="false" customHeight="false" outlineLevel="0" collapsed="false">
      <c r="A906" s="0" t="s">
        <v>1151</v>
      </c>
      <c r="B906" s="0" t="n">
        <v>5</v>
      </c>
      <c r="C906" s="0" t="str">
        <f aca="false">MID(A906,4,3)</f>
        <v>LAD</v>
      </c>
      <c r="D906" s="0" t="str">
        <f aca="false">LEFT(A906,18)</f>
        <v>PX-LAD-4A-2811-050</v>
      </c>
      <c r="E906" s="0" t="str">
        <f aca="false">RIGHT(A906,1)</f>
        <v>C</v>
      </c>
      <c r="F906" s="0" t="s">
        <v>782</v>
      </c>
      <c r="G906" s="0" t="str">
        <f aca="false">MID(D906,8,1)</f>
        <v>4</v>
      </c>
      <c r="H906" s="0" t="n">
        <v>1</v>
      </c>
    </row>
    <row r="907" customFormat="false" ht="15" hidden="false" customHeight="false" outlineLevel="0" collapsed="false">
      <c r="A907" s="0" t="s">
        <v>1152</v>
      </c>
      <c r="B907" s="0" t="n">
        <v>5</v>
      </c>
      <c r="C907" s="0" t="str">
        <f aca="false">MID(A907,4,3)</f>
        <v>LAD</v>
      </c>
      <c r="D907" s="0" t="str">
        <f aca="false">LEFT(A907,18)</f>
        <v>PX-LAD-4A-2811-100</v>
      </c>
      <c r="E907" s="0" t="str">
        <f aca="false">RIGHT(A907,1)</f>
        <v>A</v>
      </c>
      <c r="F907" s="0" t="s">
        <v>782</v>
      </c>
      <c r="G907" s="0" t="str">
        <f aca="false">MID(D907,8,1)</f>
        <v>4</v>
      </c>
      <c r="H907" s="0" t="n">
        <v>1</v>
      </c>
    </row>
    <row r="908" customFormat="false" ht="15" hidden="false" customHeight="false" outlineLevel="0" collapsed="false">
      <c r="A908" s="0" t="s">
        <v>1153</v>
      </c>
      <c r="B908" s="0" t="n">
        <v>5</v>
      </c>
      <c r="C908" s="0" t="str">
        <f aca="false">MID(A908,4,3)</f>
        <v>LAD</v>
      </c>
      <c r="D908" s="0" t="str">
        <f aca="false">LEFT(A908,18)</f>
        <v>PX-LAD-4A-2811-100</v>
      </c>
      <c r="E908" s="0" t="str">
        <f aca="false">RIGHT(A908,1)</f>
        <v>B</v>
      </c>
      <c r="F908" s="0" t="s">
        <v>782</v>
      </c>
      <c r="G908" s="0" t="str">
        <f aca="false">MID(D908,8,1)</f>
        <v>4</v>
      </c>
      <c r="H908" s="0" t="n">
        <v>1</v>
      </c>
    </row>
    <row r="909" customFormat="false" ht="15" hidden="false" customHeight="false" outlineLevel="0" collapsed="false">
      <c r="A909" s="0" t="s">
        <v>1154</v>
      </c>
      <c r="B909" s="0" t="n">
        <v>5</v>
      </c>
      <c r="C909" s="0" t="str">
        <f aca="false">MID(A909,4,3)</f>
        <v>LAD</v>
      </c>
      <c r="D909" s="0" t="str">
        <f aca="false">A909</f>
        <v>PX-LAD-4A-2818-000</v>
      </c>
      <c r="E909" s="0" t="str">
        <f aca="false">RIGHT(A909,3)</f>
        <v>000</v>
      </c>
      <c r="F909" s="0" t="s">
        <v>782</v>
      </c>
      <c r="G909" s="0" t="str">
        <f aca="false">MID(D909,8,1)</f>
        <v>4</v>
      </c>
      <c r="H909" s="0" t="n">
        <v>1</v>
      </c>
    </row>
    <row r="910" customFormat="false" ht="15" hidden="false" customHeight="false" outlineLevel="0" collapsed="false">
      <c r="A910" s="0" t="s">
        <v>1155</v>
      </c>
      <c r="B910" s="0" t="n">
        <v>5</v>
      </c>
      <c r="C910" s="0" t="str">
        <f aca="false">MID(A910,4,3)</f>
        <v>LAD</v>
      </c>
      <c r="D910" s="0" t="str">
        <f aca="false">LEFT(A910,18)</f>
        <v>PX-LAD-4A-2818-000</v>
      </c>
      <c r="E910" s="0" t="str">
        <f aca="false">RIGHT(A910,1)</f>
        <v>A</v>
      </c>
      <c r="F910" s="0" t="s">
        <v>782</v>
      </c>
      <c r="G910" s="0" t="str">
        <f aca="false">MID(D910,8,1)</f>
        <v>4</v>
      </c>
      <c r="H910" s="0" t="n">
        <v>1</v>
      </c>
    </row>
    <row r="911" customFormat="false" ht="15" hidden="false" customHeight="false" outlineLevel="0" collapsed="false">
      <c r="A911" s="0" t="s">
        <v>1156</v>
      </c>
      <c r="B911" s="0" t="n">
        <v>5</v>
      </c>
      <c r="C911" s="0" t="str">
        <f aca="false">MID(A911,4,3)</f>
        <v>LAD</v>
      </c>
      <c r="D911" s="0" t="str">
        <f aca="false">LEFT(A911,18)</f>
        <v>PX-LAD-4A-2818-000</v>
      </c>
      <c r="E911" s="0" t="str">
        <f aca="false">RIGHT(A911,1)</f>
        <v>B</v>
      </c>
      <c r="F911" s="0" t="s">
        <v>782</v>
      </c>
      <c r="G911" s="0" t="str">
        <f aca="false">MID(D911,8,1)</f>
        <v>4</v>
      </c>
      <c r="H911" s="0" t="n">
        <v>1</v>
      </c>
    </row>
    <row r="912" customFormat="false" ht="15" hidden="false" customHeight="false" outlineLevel="0" collapsed="false">
      <c r="A912" s="0" t="s">
        <v>1157</v>
      </c>
      <c r="B912" s="0" t="n">
        <v>5</v>
      </c>
      <c r="C912" s="0" t="str">
        <f aca="false">MID(A912,4,3)</f>
        <v>LAD</v>
      </c>
      <c r="D912" s="0" t="str">
        <f aca="false">LEFT(A912,18)</f>
        <v>PX-LAD-4A-2818-000</v>
      </c>
      <c r="E912" s="0" t="str">
        <f aca="false">RIGHT(A912,1)</f>
        <v>C</v>
      </c>
      <c r="F912" s="0" t="s">
        <v>782</v>
      </c>
      <c r="G912" s="0" t="str">
        <f aca="false">MID(D912,8,1)</f>
        <v>4</v>
      </c>
      <c r="H912" s="0" t="n">
        <v>1</v>
      </c>
    </row>
    <row r="913" customFormat="false" ht="15" hidden="false" customHeight="false" outlineLevel="0" collapsed="false">
      <c r="A913" s="0" t="s">
        <v>1158</v>
      </c>
      <c r="B913" s="0" t="n">
        <v>5</v>
      </c>
      <c r="C913" s="0" t="str">
        <f aca="false">MID(A913,4,3)</f>
        <v>LAD</v>
      </c>
      <c r="D913" s="0" t="str">
        <f aca="false">A913</f>
        <v>PX-LAD-4A-2818-050</v>
      </c>
      <c r="E913" s="0" t="str">
        <f aca="false">RIGHT(A913,3)</f>
        <v>050</v>
      </c>
      <c r="F913" s="0" t="s">
        <v>782</v>
      </c>
      <c r="G913" s="0" t="str">
        <f aca="false">MID(D913,8,1)</f>
        <v>4</v>
      </c>
      <c r="H913" s="0" t="n">
        <v>1</v>
      </c>
    </row>
    <row r="914" customFormat="false" ht="15" hidden="false" customHeight="false" outlineLevel="0" collapsed="false">
      <c r="A914" s="0" t="s">
        <v>1159</v>
      </c>
      <c r="B914" s="0" t="n">
        <v>5</v>
      </c>
      <c r="C914" s="0" t="str">
        <f aca="false">MID(A914,4,3)</f>
        <v>LAD</v>
      </c>
      <c r="D914" s="0" t="str">
        <f aca="false">LEFT(A914,18)</f>
        <v>PX-LAD-4A-2818-050</v>
      </c>
      <c r="E914" s="0" t="str">
        <f aca="false">RIGHT(A914,1)</f>
        <v>A</v>
      </c>
      <c r="F914" s="0" t="s">
        <v>782</v>
      </c>
      <c r="G914" s="0" t="str">
        <f aca="false">MID(D914,8,1)</f>
        <v>4</v>
      </c>
      <c r="H914" s="0" t="n">
        <v>1</v>
      </c>
    </row>
    <row r="915" customFormat="false" ht="15" hidden="false" customHeight="false" outlineLevel="0" collapsed="false">
      <c r="A915" s="0" t="s">
        <v>1160</v>
      </c>
      <c r="B915" s="0" t="n">
        <v>5</v>
      </c>
      <c r="C915" s="0" t="str">
        <f aca="false">MID(A915,4,3)</f>
        <v>LAD</v>
      </c>
      <c r="D915" s="0" t="str">
        <f aca="false">LEFT(A915,18)</f>
        <v>PX-LAD-4A-2818-050</v>
      </c>
      <c r="E915" s="0" t="str">
        <f aca="false">RIGHT(A915,1)</f>
        <v>B</v>
      </c>
      <c r="F915" s="0" t="s">
        <v>782</v>
      </c>
      <c r="G915" s="0" t="str">
        <f aca="false">MID(D915,8,1)</f>
        <v>4</v>
      </c>
      <c r="H915" s="0" t="n">
        <v>1</v>
      </c>
    </row>
    <row r="916" customFormat="false" ht="15" hidden="false" customHeight="false" outlineLevel="0" collapsed="false">
      <c r="A916" s="0" t="s">
        <v>1161</v>
      </c>
      <c r="B916" s="0" t="n">
        <v>5</v>
      </c>
      <c r="C916" s="0" t="str">
        <f aca="false">MID(A916,4,3)</f>
        <v>LAD</v>
      </c>
      <c r="D916" s="0" t="str">
        <f aca="false">LEFT(A916,18)</f>
        <v>PX-LAD-4A-2818-050</v>
      </c>
      <c r="E916" s="0" t="str">
        <f aca="false">RIGHT(A916,1)</f>
        <v>C</v>
      </c>
      <c r="F916" s="0" t="s">
        <v>782</v>
      </c>
      <c r="G916" s="0" t="str">
        <f aca="false">MID(D916,8,1)</f>
        <v>4</v>
      </c>
      <c r="H916" s="0" t="n">
        <v>1</v>
      </c>
    </row>
    <row r="917" customFormat="false" ht="15" hidden="false" customHeight="false" outlineLevel="0" collapsed="false">
      <c r="A917" s="0" t="s">
        <v>1162</v>
      </c>
      <c r="B917" s="0" t="n">
        <v>5</v>
      </c>
      <c r="C917" s="0" t="str">
        <f aca="false">MID(A917,4,3)</f>
        <v>LAD</v>
      </c>
      <c r="D917" s="0" t="str">
        <f aca="false">A917</f>
        <v>PX-LAD-4A-2818-100</v>
      </c>
      <c r="E917" s="0" t="str">
        <f aca="false">RIGHT(A917,3)</f>
        <v>100</v>
      </c>
      <c r="F917" s="0" t="s">
        <v>782</v>
      </c>
      <c r="G917" s="0" t="str">
        <f aca="false">MID(D917,8,1)</f>
        <v>4</v>
      </c>
      <c r="H917" s="0" t="n">
        <v>1</v>
      </c>
    </row>
    <row r="918" customFormat="false" ht="15" hidden="false" customHeight="false" outlineLevel="0" collapsed="false">
      <c r="A918" s="0" t="s">
        <v>1163</v>
      </c>
      <c r="B918" s="0" t="n">
        <v>5</v>
      </c>
      <c r="C918" s="0" t="str">
        <f aca="false">MID(A918,4,3)</f>
        <v>LAD</v>
      </c>
      <c r="D918" s="0" t="str">
        <f aca="false">LEFT(A918,18)</f>
        <v>PX-LAD-4A-2818-100</v>
      </c>
      <c r="E918" s="0" t="str">
        <f aca="false">RIGHT(A918,1)</f>
        <v>A</v>
      </c>
      <c r="F918" s="0" t="s">
        <v>782</v>
      </c>
      <c r="G918" s="0" t="str">
        <f aca="false">MID(D918,8,1)</f>
        <v>4</v>
      </c>
      <c r="H918" s="0" t="n">
        <v>1</v>
      </c>
    </row>
    <row r="919" customFormat="false" ht="15" hidden="false" customHeight="false" outlineLevel="0" collapsed="false">
      <c r="A919" s="0" t="s">
        <v>1164</v>
      </c>
      <c r="B919" s="0" t="n">
        <v>5</v>
      </c>
      <c r="C919" s="0" t="str">
        <f aca="false">MID(A919,4,3)</f>
        <v>LAD</v>
      </c>
      <c r="D919" s="0" t="str">
        <f aca="false">LEFT(A919,18)</f>
        <v>PX-LAD-4A-2818-100</v>
      </c>
      <c r="E919" s="0" t="str">
        <f aca="false">RIGHT(A919,1)</f>
        <v>B</v>
      </c>
      <c r="F919" s="0" t="s">
        <v>782</v>
      </c>
      <c r="G919" s="0" t="str">
        <f aca="false">MID(D919,8,1)</f>
        <v>4</v>
      </c>
      <c r="H919" s="0" t="n">
        <v>1</v>
      </c>
    </row>
    <row r="920" customFormat="false" ht="15" hidden="false" customHeight="false" outlineLevel="0" collapsed="false">
      <c r="A920" s="0" t="s">
        <v>1165</v>
      </c>
      <c r="B920" s="0" t="n">
        <v>5</v>
      </c>
      <c r="C920" s="0" t="str">
        <f aca="false">MID(A920,4,3)</f>
        <v>LAD</v>
      </c>
      <c r="D920" s="0" t="str">
        <f aca="false">LEFT(A920,18)</f>
        <v>PX-LAD-4A-2818-100</v>
      </c>
      <c r="E920" s="0" t="str">
        <f aca="false">RIGHT(A920,1)</f>
        <v>C</v>
      </c>
      <c r="F920" s="0" t="s">
        <v>782</v>
      </c>
      <c r="G920" s="0" t="str">
        <f aca="false">MID(D920,8,1)</f>
        <v>4</v>
      </c>
      <c r="H920" s="0" t="n">
        <v>1</v>
      </c>
    </row>
    <row r="921" customFormat="false" ht="15" hidden="false" customHeight="false" outlineLevel="0" collapsed="false">
      <c r="A921" s="0" t="s">
        <v>1166</v>
      </c>
      <c r="B921" s="0" t="n">
        <v>5</v>
      </c>
      <c r="C921" s="0" t="str">
        <f aca="false">MID(A921,4,3)</f>
        <v>MOS</v>
      </c>
      <c r="D921" s="0" t="str">
        <f aca="false">A921</f>
        <v>PX-MOS-4A-4852-000</v>
      </c>
      <c r="E921" s="0" t="str">
        <f aca="false">RIGHT(A921,3)</f>
        <v>000</v>
      </c>
      <c r="F921" s="0" t="s">
        <v>782</v>
      </c>
      <c r="G921" s="0" t="str">
        <f aca="false">MID(D921,8,1)</f>
        <v>4</v>
      </c>
      <c r="H921" s="0" t="n">
        <v>1</v>
      </c>
    </row>
    <row r="922" customFormat="false" ht="15" hidden="false" customHeight="false" outlineLevel="0" collapsed="false">
      <c r="A922" s="0" t="s">
        <v>1167</v>
      </c>
      <c r="B922" s="0" t="n">
        <v>5</v>
      </c>
      <c r="C922" s="0" t="str">
        <f aca="false">MID(A922,4,3)</f>
        <v>MOS</v>
      </c>
      <c r="D922" s="0" t="str">
        <f aca="false">LEFT(A922,18)</f>
        <v>PX-MOS-4A-4852-000</v>
      </c>
      <c r="E922" s="0" t="str">
        <f aca="false">RIGHT(A922,1)</f>
        <v>A</v>
      </c>
      <c r="F922" s="0" t="s">
        <v>782</v>
      </c>
      <c r="G922" s="0" t="str">
        <f aca="false">MID(D922,8,1)</f>
        <v>4</v>
      </c>
      <c r="H922" s="0" t="n">
        <v>1</v>
      </c>
    </row>
    <row r="923" customFormat="false" ht="15" hidden="false" customHeight="false" outlineLevel="0" collapsed="false">
      <c r="A923" s="0" t="s">
        <v>1168</v>
      </c>
      <c r="B923" s="0" t="n">
        <v>5</v>
      </c>
      <c r="C923" s="0" t="str">
        <f aca="false">MID(A923,4,3)</f>
        <v>MOS</v>
      </c>
      <c r="D923" s="0" t="str">
        <f aca="false">LEFT(A923,18)</f>
        <v>PX-MOS-4A-4852-000</v>
      </c>
      <c r="E923" s="0" t="str">
        <f aca="false">RIGHT(A923,1)</f>
        <v>B</v>
      </c>
      <c r="F923" s="0" t="s">
        <v>782</v>
      </c>
      <c r="G923" s="0" t="str">
        <f aca="false">MID(D923,8,1)</f>
        <v>4</v>
      </c>
      <c r="H923" s="0" t="n">
        <v>1</v>
      </c>
    </row>
    <row r="924" customFormat="false" ht="15" hidden="false" customHeight="false" outlineLevel="0" collapsed="false">
      <c r="A924" s="0" t="s">
        <v>1169</v>
      </c>
      <c r="B924" s="0" t="n">
        <v>5</v>
      </c>
      <c r="C924" s="0" t="str">
        <f aca="false">MID(A924,4,3)</f>
        <v>MOS</v>
      </c>
      <c r="D924" s="0" t="str">
        <f aca="false">LEFT(A924,18)</f>
        <v>PX-MOS-4A-4852-000</v>
      </c>
      <c r="E924" s="0" t="str">
        <f aca="false">RIGHT(A924,1)</f>
        <v>C</v>
      </c>
      <c r="F924" s="0" t="s">
        <v>782</v>
      </c>
      <c r="G924" s="0" t="str">
        <f aca="false">MID(D924,8,1)</f>
        <v>4</v>
      </c>
      <c r="H924" s="0" t="n">
        <v>1</v>
      </c>
    </row>
    <row r="925" customFormat="false" ht="15" hidden="false" customHeight="false" outlineLevel="0" collapsed="false">
      <c r="A925" s="0" t="s">
        <v>1170</v>
      </c>
      <c r="B925" s="0" t="n">
        <v>5</v>
      </c>
      <c r="C925" s="0" t="str">
        <f aca="false">MID(A925,4,3)</f>
        <v>MOS</v>
      </c>
      <c r="D925" s="0" t="str">
        <f aca="false">A925</f>
        <v>PX-MOS-4A-4852-050</v>
      </c>
      <c r="E925" s="0" t="str">
        <f aca="false">RIGHT(A925,3)</f>
        <v>050</v>
      </c>
      <c r="F925" s="0" t="s">
        <v>782</v>
      </c>
      <c r="G925" s="0" t="str">
        <f aca="false">MID(D925,8,1)</f>
        <v>4</v>
      </c>
      <c r="H925" s="0" t="n">
        <v>1</v>
      </c>
    </row>
    <row r="926" customFormat="false" ht="15" hidden="false" customHeight="false" outlineLevel="0" collapsed="false">
      <c r="A926" s="0" t="s">
        <v>1171</v>
      </c>
      <c r="B926" s="0" t="n">
        <v>5</v>
      </c>
      <c r="C926" s="0" t="str">
        <f aca="false">MID(A926,4,3)</f>
        <v>MOS</v>
      </c>
      <c r="D926" s="0" t="str">
        <f aca="false">LEFT(A926,18)</f>
        <v>PX-MOS-4A-4852-050</v>
      </c>
      <c r="E926" s="0" t="str">
        <f aca="false">RIGHT(A926,1)</f>
        <v>A</v>
      </c>
      <c r="F926" s="0" t="s">
        <v>782</v>
      </c>
      <c r="G926" s="0" t="str">
        <f aca="false">MID(D926,8,1)</f>
        <v>4</v>
      </c>
      <c r="H926" s="0" t="n">
        <v>1</v>
      </c>
    </row>
    <row r="927" customFormat="false" ht="15" hidden="false" customHeight="false" outlineLevel="0" collapsed="false">
      <c r="A927" s="0" t="s">
        <v>1172</v>
      </c>
      <c r="B927" s="0" t="n">
        <v>5</v>
      </c>
      <c r="C927" s="0" t="str">
        <f aca="false">MID(A927,4,3)</f>
        <v>MOS</v>
      </c>
      <c r="D927" s="0" t="str">
        <f aca="false">LEFT(A927,18)</f>
        <v>PX-MOS-4A-4852-050</v>
      </c>
      <c r="E927" s="0" t="str">
        <f aca="false">RIGHT(A927,1)</f>
        <v>B</v>
      </c>
      <c r="F927" s="0" t="s">
        <v>782</v>
      </c>
      <c r="G927" s="0" t="str">
        <f aca="false">MID(D927,8,1)</f>
        <v>4</v>
      </c>
      <c r="H927" s="0" t="n">
        <v>1</v>
      </c>
    </row>
    <row r="928" customFormat="false" ht="15" hidden="false" customHeight="false" outlineLevel="0" collapsed="false">
      <c r="A928" s="0" t="s">
        <v>1173</v>
      </c>
      <c r="B928" s="0" t="n">
        <v>5</v>
      </c>
      <c r="C928" s="0" t="str">
        <f aca="false">MID(A928,4,3)</f>
        <v>MOS</v>
      </c>
      <c r="D928" s="0" t="str">
        <f aca="false">LEFT(A928,18)</f>
        <v>PX-MOS-4A-4852-050</v>
      </c>
      <c r="E928" s="0" t="str">
        <f aca="false">RIGHT(A928,1)</f>
        <v>C</v>
      </c>
      <c r="F928" s="0" t="s">
        <v>782</v>
      </c>
      <c r="G928" s="0" t="str">
        <f aca="false">MID(D928,8,1)</f>
        <v>4</v>
      </c>
      <c r="H928" s="0" t="n">
        <v>1</v>
      </c>
    </row>
    <row r="929" customFormat="false" ht="15" hidden="false" customHeight="false" outlineLevel="0" collapsed="false">
      <c r="A929" s="0" t="s">
        <v>1174</v>
      </c>
      <c r="B929" s="0" t="n">
        <v>5</v>
      </c>
      <c r="C929" s="0" t="str">
        <f aca="false">MID(A929,4,3)</f>
        <v>MOS</v>
      </c>
      <c r="D929" s="0" t="str">
        <f aca="false">A929</f>
        <v>PX-MOS-4A-4852-100</v>
      </c>
      <c r="E929" s="0" t="str">
        <f aca="false">RIGHT(A929,3)</f>
        <v>100</v>
      </c>
      <c r="F929" s="0" t="s">
        <v>782</v>
      </c>
      <c r="G929" s="0" t="str">
        <f aca="false">MID(D929,8,1)</f>
        <v>4</v>
      </c>
      <c r="H929" s="0" t="n">
        <v>1</v>
      </c>
    </row>
    <row r="930" customFormat="false" ht="15" hidden="false" customHeight="false" outlineLevel="0" collapsed="false">
      <c r="A930" s="0" t="s">
        <v>1175</v>
      </c>
      <c r="B930" s="0" t="n">
        <v>5</v>
      </c>
      <c r="C930" s="0" t="str">
        <f aca="false">MID(A930,4,3)</f>
        <v>MOS</v>
      </c>
      <c r="D930" s="0" t="str">
        <f aca="false">LEFT(A930,18)</f>
        <v>PX-MOS-4A-4852-100</v>
      </c>
      <c r="E930" s="0" t="str">
        <f aca="false">RIGHT(A930,1)</f>
        <v>A</v>
      </c>
      <c r="F930" s="0" t="s">
        <v>782</v>
      </c>
      <c r="G930" s="0" t="str">
        <f aca="false">MID(D930,8,1)</f>
        <v>4</v>
      </c>
      <c r="H930" s="0" t="n">
        <v>1</v>
      </c>
    </row>
    <row r="931" customFormat="false" ht="15" hidden="false" customHeight="false" outlineLevel="0" collapsed="false">
      <c r="A931" s="0" t="s">
        <v>1176</v>
      </c>
      <c r="B931" s="0" t="n">
        <v>5</v>
      </c>
      <c r="C931" s="0" t="str">
        <f aca="false">MID(A931,4,3)</f>
        <v>MOS</v>
      </c>
      <c r="D931" s="0" t="str">
        <f aca="false">LEFT(A931,18)</f>
        <v>PX-MOS-4A-4852-100</v>
      </c>
      <c r="E931" s="0" t="str">
        <f aca="false">RIGHT(A931,1)</f>
        <v>B</v>
      </c>
      <c r="F931" s="0" t="s">
        <v>782</v>
      </c>
      <c r="G931" s="0" t="str">
        <f aca="false">MID(D931,8,1)</f>
        <v>4</v>
      </c>
      <c r="H931" s="0" t="n">
        <v>1</v>
      </c>
    </row>
    <row r="932" customFormat="false" ht="15" hidden="false" customHeight="false" outlineLevel="0" collapsed="false">
      <c r="A932" s="0" t="s">
        <v>1177</v>
      </c>
      <c r="B932" s="0" t="n">
        <v>5</v>
      </c>
      <c r="C932" s="0" t="str">
        <f aca="false">MID(A932,4,3)</f>
        <v>MOS</v>
      </c>
      <c r="D932" s="0" t="str">
        <f aca="false">LEFT(A932,18)</f>
        <v>PX-MOS-4A-4852-100</v>
      </c>
      <c r="E932" s="0" t="str">
        <f aca="false">RIGHT(A932,1)</f>
        <v>C</v>
      </c>
      <c r="F932" s="0" t="s">
        <v>782</v>
      </c>
      <c r="G932" s="0" t="str">
        <f aca="false">MID(D932,8,1)</f>
        <v>4</v>
      </c>
      <c r="H932" s="0" t="n">
        <v>1</v>
      </c>
    </row>
    <row r="933" customFormat="false" ht="15" hidden="false" customHeight="false" outlineLevel="0" collapsed="false">
      <c r="A933" s="0" t="s">
        <v>1178</v>
      </c>
      <c r="B933" s="0" t="n">
        <v>5</v>
      </c>
      <c r="C933" s="0" t="str">
        <f aca="false">MID(A933,4,3)</f>
        <v>MOS</v>
      </c>
      <c r="D933" s="0" t="str">
        <f aca="false">A933</f>
        <v>PX-MOS-4A-4855-000</v>
      </c>
      <c r="E933" s="0" t="str">
        <f aca="false">RIGHT(A933,3)</f>
        <v>000</v>
      </c>
      <c r="F933" s="0" t="s">
        <v>782</v>
      </c>
      <c r="G933" s="0" t="str">
        <f aca="false">MID(D933,8,1)</f>
        <v>4</v>
      </c>
      <c r="H933" s="0" t="n">
        <v>1</v>
      </c>
    </row>
    <row r="934" customFormat="false" ht="15" hidden="false" customHeight="false" outlineLevel="0" collapsed="false">
      <c r="A934" s="0" t="s">
        <v>1179</v>
      </c>
      <c r="B934" s="0" t="n">
        <v>5</v>
      </c>
      <c r="C934" s="0" t="str">
        <f aca="false">MID(A934,4,3)</f>
        <v>MOS</v>
      </c>
      <c r="D934" s="0" t="str">
        <f aca="false">LEFT(A934,18)</f>
        <v>PX-MOS-4A-4855-000</v>
      </c>
      <c r="E934" s="0" t="str">
        <f aca="false">RIGHT(A934,1)</f>
        <v>A</v>
      </c>
      <c r="F934" s="0" t="s">
        <v>782</v>
      </c>
      <c r="G934" s="0" t="str">
        <f aca="false">MID(D934,8,1)</f>
        <v>4</v>
      </c>
      <c r="H934" s="0" t="n">
        <v>1</v>
      </c>
    </row>
    <row r="935" customFormat="false" ht="15" hidden="false" customHeight="false" outlineLevel="0" collapsed="false">
      <c r="A935" s="0" t="s">
        <v>1180</v>
      </c>
      <c r="B935" s="0" t="n">
        <v>5</v>
      </c>
      <c r="C935" s="0" t="str">
        <f aca="false">MID(A935,4,3)</f>
        <v>MOS</v>
      </c>
      <c r="D935" s="0" t="str">
        <f aca="false">LEFT(A935,18)</f>
        <v>PX-MOS-4A-4855-000</v>
      </c>
      <c r="E935" s="0" t="str">
        <f aca="false">RIGHT(A935,1)</f>
        <v>B</v>
      </c>
      <c r="F935" s="0" t="s">
        <v>782</v>
      </c>
      <c r="G935" s="0" t="str">
        <f aca="false">MID(D935,8,1)</f>
        <v>4</v>
      </c>
      <c r="H935" s="0" t="n">
        <v>1</v>
      </c>
    </row>
    <row r="936" customFormat="false" ht="15" hidden="false" customHeight="false" outlineLevel="0" collapsed="false">
      <c r="A936" s="0" t="s">
        <v>1181</v>
      </c>
      <c r="B936" s="0" t="n">
        <v>5</v>
      </c>
      <c r="C936" s="0" t="str">
        <f aca="false">MID(A936,4,3)</f>
        <v>MOS</v>
      </c>
      <c r="D936" s="0" t="str">
        <f aca="false">LEFT(A936,18)</f>
        <v>PX-MOS-4A-4855-000</v>
      </c>
      <c r="E936" s="0" t="str">
        <f aca="false">RIGHT(A936,1)</f>
        <v>C</v>
      </c>
      <c r="F936" s="0" t="s">
        <v>782</v>
      </c>
      <c r="G936" s="0" t="str">
        <f aca="false">MID(D936,8,1)</f>
        <v>4</v>
      </c>
      <c r="H936" s="0" t="n">
        <v>1</v>
      </c>
    </row>
    <row r="937" customFormat="false" ht="15" hidden="false" customHeight="false" outlineLevel="0" collapsed="false">
      <c r="A937" s="0" t="s">
        <v>1182</v>
      </c>
      <c r="B937" s="0" t="n">
        <v>5</v>
      </c>
      <c r="C937" s="0" t="str">
        <f aca="false">MID(A937,4,3)</f>
        <v>MOS</v>
      </c>
      <c r="D937" s="0" t="str">
        <f aca="false">A937</f>
        <v>PX-MOS-4A-4855-050</v>
      </c>
      <c r="E937" s="0" t="str">
        <f aca="false">RIGHT(A937,3)</f>
        <v>050</v>
      </c>
      <c r="F937" s="0" t="s">
        <v>782</v>
      </c>
      <c r="G937" s="0" t="str">
        <f aca="false">MID(D937,8,1)</f>
        <v>4</v>
      </c>
      <c r="H937" s="0" t="n">
        <v>1</v>
      </c>
    </row>
    <row r="938" customFormat="false" ht="15" hidden="false" customHeight="false" outlineLevel="0" collapsed="false">
      <c r="A938" s="0" t="s">
        <v>1183</v>
      </c>
      <c r="B938" s="0" t="n">
        <v>5</v>
      </c>
      <c r="C938" s="0" t="str">
        <f aca="false">MID(A938,4,3)</f>
        <v>MOS</v>
      </c>
      <c r="D938" s="0" t="str">
        <f aca="false">LEFT(A938,18)</f>
        <v>PX-MOS-4A-4855-050</v>
      </c>
      <c r="E938" s="0" t="str">
        <f aca="false">RIGHT(A938,1)</f>
        <v>A</v>
      </c>
      <c r="F938" s="0" t="s">
        <v>782</v>
      </c>
      <c r="G938" s="0" t="str">
        <f aca="false">MID(D938,8,1)</f>
        <v>4</v>
      </c>
      <c r="H938" s="0" t="n">
        <v>1</v>
      </c>
    </row>
    <row r="939" customFormat="false" ht="15" hidden="false" customHeight="false" outlineLevel="0" collapsed="false">
      <c r="A939" s="0" t="s">
        <v>1184</v>
      </c>
      <c r="B939" s="0" t="n">
        <v>5</v>
      </c>
      <c r="C939" s="0" t="str">
        <f aca="false">MID(A939,4,3)</f>
        <v>MOS</v>
      </c>
      <c r="D939" s="0" t="str">
        <f aca="false">LEFT(A939,18)</f>
        <v>PX-MOS-4A-4855-050</v>
      </c>
      <c r="E939" s="0" t="str">
        <f aca="false">RIGHT(A939,1)</f>
        <v>B</v>
      </c>
      <c r="F939" s="0" t="s">
        <v>782</v>
      </c>
      <c r="G939" s="0" t="str">
        <f aca="false">MID(D939,8,1)</f>
        <v>4</v>
      </c>
      <c r="H939" s="0" t="n">
        <v>1</v>
      </c>
    </row>
    <row r="940" customFormat="false" ht="15" hidden="false" customHeight="false" outlineLevel="0" collapsed="false">
      <c r="A940" s="0" t="s">
        <v>1185</v>
      </c>
      <c r="B940" s="0" t="n">
        <v>5</v>
      </c>
      <c r="C940" s="0" t="str">
        <f aca="false">MID(A940,4,3)</f>
        <v>MOS</v>
      </c>
      <c r="D940" s="0" t="str">
        <f aca="false">LEFT(A940,18)</f>
        <v>PX-MOS-4A-4855-050</v>
      </c>
      <c r="E940" s="0" t="str">
        <f aca="false">RIGHT(A940,1)</f>
        <v>C</v>
      </c>
      <c r="F940" s="0" t="s">
        <v>782</v>
      </c>
      <c r="G940" s="0" t="str">
        <f aca="false">MID(D940,8,1)</f>
        <v>4</v>
      </c>
      <c r="H940" s="0" t="n">
        <v>1</v>
      </c>
    </row>
    <row r="941" customFormat="false" ht="15" hidden="false" customHeight="false" outlineLevel="0" collapsed="false">
      <c r="A941" s="0" t="s">
        <v>1186</v>
      </c>
      <c r="B941" s="0" t="n">
        <v>5</v>
      </c>
      <c r="C941" s="0" t="str">
        <f aca="false">MID(A941,4,3)</f>
        <v>MOS</v>
      </c>
      <c r="D941" s="0" t="str">
        <f aca="false">LEFT(A941,18)</f>
        <v>PX-MOS-4A-4855-100</v>
      </c>
      <c r="E941" s="0" t="str">
        <f aca="false">RIGHT(A941,1)</f>
        <v>A</v>
      </c>
      <c r="F941" s="0" t="s">
        <v>782</v>
      </c>
      <c r="G941" s="0" t="str">
        <f aca="false">MID(D941,8,1)</f>
        <v>4</v>
      </c>
      <c r="H941" s="0" t="n">
        <v>1</v>
      </c>
    </row>
    <row r="942" customFormat="false" ht="15" hidden="false" customHeight="false" outlineLevel="0" collapsed="false">
      <c r="A942" s="0" t="s">
        <v>1187</v>
      </c>
      <c r="B942" s="0" t="n">
        <v>5</v>
      </c>
      <c r="C942" s="0" t="str">
        <f aca="false">MID(A942,4,3)</f>
        <v>MOS</v>
      </c>
      <c r="D942" s="0" t="str">
        <f aca="false">LEFT(A942,18)</f>
        <v>PX-MOS-4A-4855-100</v>
      </c>
      <c r="E942" s="0" t="str">
        <f aca="false">RIGHT(A942,1)</f>
        <v>B</v>
      </c>
      <c r="F942" s="0" t="s">
        <v>782</v>
      </c>
      <c r="G942" s="0" t="str">
        <f aca="false">MID(D942,8,1)</f>
        <v>4</v>
      </c>
      <c r="H942" s="0" t="n">
        <v>1</v>
      </c>
    </row>
    <row r="943" customFormat="false" ht="15" hidden="false" customHeight="false" outlineLevel="0" collapsed="false">
      <c r="A943" s="0" t="s">
        <v>1188</v>
      </c>
      <c r="B943" s="0" t="n">
        <v>5</v>
      </c>
      <c r="C943" s="0" t="str">
        <f aca="false">MID(A943,4,3)</f>
        <v>MOS</v>
      </c>
      <c r="D943" s="0" t="str">
        <f aca="false">LEFT(A943,18)</f>
        <v>PX-MOS-4A-4855-100</v>
      </c>
      <c r="E943" s="0" t="str">
        <f aca="false">RIGHT(A943,1)</f>
        <v>C</v>
      </c>
      <c r="F943" s="0" t="s">
        <v>782</v>
      </c>
      <c r="G943" s="0" t="str">
        <f aca="false">MID(D943,8,1)</f>
        <v>4</v>
      </c>
      <c r="H943" s="0" t="n">
        <v>1</v>
      </c>
    </row>
    <row r="944" customFormat="false" ht="15" hidden="false" customHeight="false" outlineLevel="0" collapsed="false">
      <c r="A944" s="0" t="s">
        <v>1189</v>
      </c>
      <c r="B944" s="0" t="n">
        <v>5</v>
      </c>
      <c r="C944" s="0" t="str">
        <f aca="false">MID(A944,4,3)</f>
        <v>MTZ</v>
      </c>
      <c r="D944" s="0" t="str">
        <f aca="false">LEFT(A944,LEN(A944)-4)</f>
        <v>PX-MTZ-1F-5950</v>
      </c>
      <c r="E944" s="0" t="str">
        <f aca="false">RIGHT(A944,3)</f>
        <v>000</v>
      </c>
      <c r="F944" s="0" t="s">
        <v>493</v>
      </c>
      <c r="G944" s="0" t="str">
        <f aca="false">MID(D944,8,1)</f>
        <v>1</v>
      </c>
      <c r="H944" s="0" t="n">
        <v>1</v>
      </c>
    </row>
    <row r="945" customFormat="false" ht="15" hidden="false" customHeight="false" outlineLevel="0" collapsed="false">
      <c r="A945" s="0" t="s">
        <v>1190</v>
      </c>
      <c r="B945" s="0" t="n">
        <v>5</v>
      </c>
      <c r="C945" s="0" t="str">
        <f aca="false">MID(A945,4,3)</f>
        <v>RAV</v>
      </c>
      <c r="D945" s="0" t="str">
        <f aca="false">LEFT(A945,LEN(A945)-4)</f>
        <v>PX-RAV-4A-5901</v>
      </c>
      <c r="E945" s="0" t="str">
        <f aca="false">RIGHT(A945,3)</f>
        <v>000</v>
      </c>
      <c r="F945" s="0" t="s">
        <v>782</v>
      </c>
      <c r="G945" s="0" t="str">
        <f aca="false">MID(D945,8,1)</f>
        <v>4</v>
      </c>
      <c r="H945" s="0" t="n">
        <v>1</v>
      </c>
    </row>
    <row r="946" customFormat="false" ht="15" hidden="false" customHeight="false" outlineLevel="0" collapsed="false">
      <c r="A946" s="0" t="s">
        <v>1191</v>
      </c>
      <c r="B946" s="0" t="n">
        <v>5</v>
      </c>
      <c r="C946" s="0" t="str">
        <f aca="false">MID(A946,4,3)</f>
        <v>RAV</v>
      </c>
      <c r="D946" s="0" t="str">
        <f aca="false">LEFT(A946,LEN(A946)-4)</f>
        <v>PX-RAV-4A-5901</v>
      </c>
      <c r="E946" s="0" t="str">
        <f aca="false">RIGHT(A946,3)</f>
        <v>025</v>
      </c>
      <c r="F946" s="0" t="s">
        <v>782</v>
      </c>
      <c r="G946" s="0" t="str">
        <f aca="false">MID(D946,8,1)</f>
        <v>4</v>
      </c>
      <c r="H946" s="0" t="n">
        <v>1</v>
      </c>
    </row>
    <row r="947" customFormat="false" ht="15" hidden="false" customHeight="false" outlineLevel="0" collapsed="false">
      <c r="A947" s="0" t="s">
        <v>1192</v>
      </c>
      <c r="B947" s="0" t="n">
        <v>5</v>
      </c>
      <c r="C947" s="0" t="str">
        <f aca="false">MID(A947,4,3)</f>
        <v>RAV</v>
      </c>
      <c r="D947" s="0" t="str">
        <f aca="false">LEFT(A947,LEN(A947)-4)</f>
        <v>PX-RAV-4A-5901</v>
      </c>
      <c r="E947" s="0" t="str">
        <f aca="false">RIGHT(A947,3)</f>
        <v>050</v>
      </c>
      <c r="F947" s="0" t="s">
        <v>782</v>
      </c>
      <c r="G947" s="0" t="str">
        <f aca="false">MID(D947,8,1)</f>
        <v>4</v>
      </c>
      <c r="H947" s="0" t="n">
        <v>1</v>
      </c>
    </row>
    <row r="948" customFormat="false" ht="15" hidden="false" customHeight="false" outlineLevel="0" collapsed="false">
      <c r="A948" s="0" t="s">
        <v>1193</v>
      </c>
      <c r="B948" s="0" t="n">
        <v>5</v>
      </c>
      <c r="C948" s="0" t="str">
        <f aca="false">MID(A948,4,3)</f>
        <v>RAV</v>
      </c>
      <c r="D948" s="0" t="str">
        <f aca="false">LEFT(A948,LEN(A948)-4)</f>
        <v>PX-RAV-4A-5902</v>
      </c>
      <c r="E948" s="0" t="str">
        <f aca="false">RIGHT(A948,3)</f>
        <v>000</v>
      </c>
      <c r="F948" s="0" t="s">
        <v>782</v>
      </c>
      <c r="G948" s="0" t="str">
        <f aca="false">MID(D948,8,1)</f>
        <v>4</v>
      </c>
      <c r="H948" s="0" t="n">
        <v>1</v>
      </c>
    </row>
    <row r="949" customFormat="false" ht="15" hidden="false" customHeight="false" outlineLevel="0" collapsed="false">
      <c r="A949" s="0" t="s">
        <v>1194</v>
      </c>
      <c r="B949" s="0" t="n">
        <v>5</v>
      </c>
      <c r="C949" s="0" t="str">
        <f aca="false">MID(A949,4,3)</f>
        <v>RAV</v>
      </c>
      <c r="D949" s="0" t="str">
        <f aca="false">LEFT(A949,LEN(A949)-4)</f>
        <v>PX-RAV-4A-5902</v>
      </c>
      <c r="E949" s="0" t="str">
        <f aca="false">RIGHT(A949,3)</f>
        <v>025</v>
      </c>
      <c r="F949" s="0" t="s">
        <v>782</v>
      </c>
      <c r="G949" s="0" t="str">
        <f aca="false">MID(D949,8,1)</f>
        <v>4</v>
      </c>
      <c r="H949" s="0" t="n">
        <v>1</v>
      </c>
    </row>
    <row r="950" customFormat="false" ht="15" hidden="false" customHeight="false" outlineLevel="0" collapsed="false">
      <c r="A950" s="0" t="s">
        <v>1195</v>
      </c>
      <c r="B950" s="0" t="n">
        <v>5</v>
      </c>
      <c r="C950" s="0" t="str">
        <f aca="false">MID(A950,4,3)</f>
        <v>RAV</v>
      </c>
      <c r="D950" s="0" t="str">
        <f aca="false">LEFT(A950,LEN(A950)-4)</f>
        <v>PX-RAV-4A-5902</v>
      </c>
      <c r="E950" s="0" t="str">
        <f aca="false">RIGHT(A950,3)</f>
        <v>050</v>
      </c>
      <c r="F950" s="0" t="s">
        <v>782</v>
      </c>
      <c r="G950" s="0" t="str">
        <f aca="false">MID(D950,8,1)</f>
        <v>4</v>
      </c>
      <c r="H950" s="0" t="n">
        <v>1</v>
      </c>
    </row>
    <row r="951" customFormat="false" ht="15" hidden="false" customHeight="false" outlineLevel="0" collapsed="false">
      <c r="A951" s="0" t="s">
        <v>1196</v>
      </c>
      <c r="B951" s="0" t="n">
        <v>5</v>
      </c>
      <c r="C951" s="0" t="str">
        <f aca="false">MID(A951,4,3)</f>
        <v>RAV</v>
      </c>
      <c r="D951" s="0" t="str">
        <f aca="false">LEFT(A951,LEN(A951)-4)</f>
        <v>PX-RAV-4F-5901</v>
      </c>
      <c r="E951" s="0" t="str">
        <f aca="false">RIGHT(A951,3)</f>
        <v>000</v>
      </c>
      <c r="F951" s="0" t="s">
        <v>782</v>
      </c>
      <c r="G951" s="0" t="str">
        <f aca="false">MID(D951,8,1)</f>
        <v>4</v>
      </c>
      <c r="H951" s="0" t="n">
        <v>1</v>
      </c>
    </row>
    <row r="952" customFormat="false" ht="15" hidden="false" customHeight="false" outlineLevel="0" collapsed="false">
      <c r="A952" s="0" t="s">
        <v>1197</v>
      </c>
      <c r="B952" s="0" t="n">
        <v>5</v>
      </c>
      <c r="C952" s="0" t="str">
        <f aca="false">MID(A952,4,3)</f>
        <v>RAV</v>
      </c>
      <c r="D952" s="0" t="str">
        <f aca="false">LEFT(A952,LEN(A952)-4)</f>
        <v>PX-RAV-4F-5901</v>
      </c>
      <c r="E952" s="0" t="str">
        <f aca="false">RIGHT(A952,3)</f>
        <v>025</v>
      </c>
      <c r="F952" s="0" t="s">
        <v>782</v>
      </c>
      <c r="G952" s="0" t="str">
        <f aca="false">MID(D952,8,1)</f>
        <v>4</v>
      </c>
      <c r="H952" s="0" t="n">
        <v>1</v>
      </c>
    </row>
    <row r="953" customFormat="false" ht="15" hidden="false" customHeight="false" outlineLevel="0" collapsed="false">
      <c r="A953" s="0" t="s">
        <v>1198</v>
      </c>
      <c r="B953" s="0" t="n">
        <v>5</v>
      </c>
      <c r="C953" s="0" t="str">
        <f aca="false">MID(A953,4,3)</f>
        <v>RAV</v>
      </c>
      <c r="D953" s="0" t="str">
        <f aca="false">LEFT(A953,LEN(A953)-4)</f>
        <v>PX-RAV-4F-5901</v>
      </c>
      <c r="E953" s="0" t="str">
        <f aca="false">RIGHT(A953,3)</f>
        <v>050</v>
      </c>
      <c r="F953" s="0" t="s">
        <v>782</v>
      </c>
      <c r="G953" s="0" t="str">
        <f aca="false">MID(D953,8,1)</f>
        <v>4</v>
      </c>
      <c r="H953" s="0" t="n">
        <v>1</v>
      </c>
    </row>
    <row r="954" customFormat="false" ht="15" hidden="false" customHeight="false" outlineLevel="0" collapsed="false">
      <c r="A954" s="0" t="s">
        <v>1199</v>
      </c>
      <c r="B954" s="0" t="n">
        <v>5</v>
      </c>
      <c r="C954" s="0" t="str">
        <f aca="false">MID(A954,4,3)</f>
        <v>RAV</v>
      </c>
      <c r="D954" s="0" t="str">
        <f aca="false">LEFT(A954,LEN(A954)-4)</f>
        <v>PX-RAV-4F-5902</v>
      </c>
      <c r="E954" s="0" t="str">
        <f aca="false">RIGHT(A954,3)</f>
        <v>000</v>
      </c>
      <c r="F954" s="0" t="s">
        <v>782</v>
      </c>
      <c r="G954" s="0" t="str">
        <f aca="false">MID(D954,8,1)</f>
        <v>4</v>
      </c>
      <c r="H954" s="0" t="n">
        <v>1</v>
      </c>
    </row>
    <row r="955" customFormat="false" ht="15" hidden="false" customHeight="false" outlineLevel="0" collapsed="false">
      <c r="A955" s="0" t="s">
        <v>1200</v>
      </c>
      <c r="B955" s="0" t="n">
        <v>5</v>
      </c>
      <c r="C955" s="0" t="str">
        <f aca="false">MID(A955,4,3)</f>
        <v>RAV</v>
      </c>
      <c r="D955" s="0" t="str">
        <f aca="false">LEFT(A955,LEN(A955)-4)</f>
        <v>PX-RAV-4F-5902</v>
      </c>
      <c r="E955" s="0" t="str">
        <f aca="false">RIGHT(A955,3)</f>
        <v>025</v>
      </c>
      <c r="F955" s="0" t="s">
        <v>782</v>
      </c>
      <c r="G955" s="0" t="str">
        <f aca="false">MID(D955,8,1)</f>
        <v>4</v>
      </c>
      <c r="H955" s="0" t="n">
        <v>1</v>
      </c>
    </row>
    <row r="956" customFormat="false" ht="15" hidden="false" customHeight="false" outlineLevel="0" collapsed="false">
      <c r="A956" s="0" t="s">
        <v>1201</v>
      </c>
      <c r="B956" s="0" t="n">
        <v>5</v>
      </c>
      <c r="C956" s="0" t="str">
        <f aca="false">MID(A956,4,3)</f>
        <v>RAV</v>
      </c>
      <c r="D956" s="0" t="str">
        <f aca="false">LEFT(A956,LEN(A956)-4)</f>
        <v>PX-RAV-4F-5902</v>
      </c>
      <c r="E956" s="0" t="str">
        <f aca="false">RIGHT(A956,3)</f>
        <v>050</v>
      </c>
      <c r="F956" s="0" t="s">
        <v>782</v>
      </c>
      <c r="G956" s="0" t="str">
        <f aca="false">MID(D956,8,1)</f>
        <v>4</v>
      </c>
      <c r="H956" s="0" t="n">
        <v>1</v>
      </c>
    </row>
    <row r="957" customFormat="false" ht="15" hidden="false" customHeight="false" outlineLevel="0" collapsed="false">
      <c r="A957" s="0" t="s">
        <v>1202</v>
      </c>
      <c r="B957" s="0" t="n">
        <v>5</v>
      </c>
      <c r="C957" s="0" t="str">
        <f aca="false">MID(A957,4,3)</f>
        <v>REN</v>
      </c>
      <c r="D957" s="0" t="str">
        <f aca="false">A957</f>
        <v>PX-REN-4A-3841-000</v>
      </c>
      <c r="E957" s="0" t="str">
        <f aca="false">RIGHT(A957,3)</f>
        <v>000</v>
      </c>
      <c r="F957" s="0" t="s">
        <v>782</v>
      </c>
      <c r="G957" s="0" t="str">
        <f aca="false">MID(D957,8,1)</f>
        <v>4</v>
      </c>
      <c r="H957" s="0" t="n">
        <v>1</v>
      </c>
    </row>
    <row r="958" customFormat="false" ht="15" hidden="false" customHeight="false" outlineLevel="0" collapsed="false">
      <c r="A958" s="0" t="s">
        <v>1203</v>
      </c>
      <c r="B958" s="0" t="n">
        <v>5</v>
      </c>
      <c r="C958" s="0" t="str">
        <f aca="false">MID(A958,4,3)</f>
        <v>REN</v>
      </c>
      <c r="D958" s="0" t="str">
        <f aca="false">LEFT(A958,18)</f>
        <v>PX-REN-4A-3841-000</v>
      </c>
      <c r="E958" s="0" t="str">
        <f aca="false">RIGHT(A958,1)</f>
        <v>A</v>
      </c>
      <c r="F958" s="0" t="s">
        <v>782</v>
      </c>
      <c r="G958" s="0" t="str">
        <f aca="false">MID(D958,8,1)</f>
        <v>4</v>
      </c>
      <c r="H958" s="0" t="n">
        <v>1</v>
      </c>
    </row>
    <row r="959" customFormat="false" ht="15" hidden="false" customHeight="false" outlineLevel="0" collapsed="false">
      <c r="A959" s="0" t="s">
        <v>1204</v>
      </c>
      <c r="B959" s="0" t="n">
        <v>5</v>
      </c>
      <c r="C959" s="0" t="str">
        <f aca="false">MID(A959,4,3)</f>
        <v>REN</v>
      </c>
      <c r="D959" s="0" t="str">
        <f aca="false">LEFT(A959,18)</f>
        <v>PX-REN-4A-3841-000</v>
      </c>
      <c r="E959" s="0" t="str">
        <f aca="false">RIGHT(A959,1)</f>
        <v>B</v>
      </c>
      <c r="F959" s="0" t="s">
        <v>782</v>
      </c>
      <c r="G959" s="0" t="str">
        <f aca="false">MID(D959,8,1)</f>
        <v>4</v>
      </c>
      <c r="H959" s="0" t="n">
        <v>1</v>
      </c>
    </row>
    <row r="960" customFormat="false" ht="15" hidden="false" customHeight="false" outlineLevel="0" collapsed="false">
      <c r="A960" s="0" t="s">
        <v>1205</v>
      </c>
      <c r="B960" s="0" t="n">
        <v>5</v>
      </c>
      <c r="C960" s="0" t="str">
        <f aca="false">MID(A960,4,3)</f>
        <v>REN</v>
      </c>
      <c r="D960" s="0" t="str">
        <f aca="false">LEFT(A960,18)</f>
        <v>PX-REN-4A-3841-000</v>
      </c>
      <c r="E960" s="0" t="str">
        <f aca="false">RIGHT(A960,1)</f>
        <v>C</v>
      </c>
      <c r="F960" s="0" t="s">
        <v>782</v>
      </c>
      <c r="G960" s="0" t="str">
        <f aca="false">MID(D960,8,1)</f>
        <v>4</v>
      </c>
      <c r="H960" s="0" t="n">
        <v>1</v>
      </c>
    </row>
    <row r="961" customFormat="false" ht="15" hidden="false" customHeight="false" outlineLevel="0" collapsed="false">
      <c r="A961" s="0" t="s">
        <v>1206</v>
      </c>
      <c r="B961" s="0" t="n">
        <v>5</v>
      </c>
      <c r="C961" s="0" t="str">
        <f aca="false">MID(A961,4,3)</f>
        <v>REN</v>
      </c>
      <c r="D961" s="0" t="str">
        <f aca="false">LEFT(A961,18)</f>
        <v>PX-REN-4A-3841-000</v>
      </c>
      <c r="E961" s="0" t="str">
        <f aca="false">RIGHT(A961,1)</f>
        <v>D</v>
      </c>
      <c r="F961" s="0" t="s">
        <v>782</v>
      </c>
      <c r="G961" s="0" t="str">
        <f aca="false">MID(D961,8,1)</f>
        <v>4</v>
      </c>
      <c r="H961" s="0" t="n">
        <v>1</v>
      </c>
    </row>
    <row r="962" customFormat="false" ht="15" hidden="false" customHeight="false" outlineLevel="0" collapsed="false">
      <c r="A962" s="0" t="s">
        <v>1207</v>
      </c>
      <c r="B962" s="0" t="n">
        <v>5</v>
      </c>
      <c r="C962" s="0" t="str">
        <f aca="false">MID(A962,4,3)</f>
        <v>REN</v>
      </c>
      <c r="D962" s="0" t="str">
        <f aca="false">LEFT(A962,18)</f>
        <v>PX-REN-4A-3841-000</v>
      </c>
      <c r="E962" s="0" t="str">
        <f aca="false">RIGHT(A962,1)</f>
        <v>E</v>
      </c>
      <c r="F962" s="0" t="s">
        <v>782</v>
      </c>
      <c r="G962" s="0" t="str">
        <f aca="false">MID(D962,8,1)</f>
        <v>4</v>
      </c>
      <c r="H962" s="0" t="n">
        <v>1</v>
      </c>
    </row>
    <row r="963" customFormat="false" ht="15" hidden="false" customHeight="false" outlineLevel="0" collapsed="false">
      <c r="A963" s="0" t="s">
        <v>1208</v>
      </c>
      <c r="B963" s="0" t="n">
        <v>5</v>
      </c>
      <c r="C963" s="0" t="str">
        <f aca="false">MID(A963,4,3)</f>
        <v>REN</v>
      </c>
      <c r="D963" s="0" t="str">
        <f aca="false">A963</f>
        <v>PX-REN-4A-3841-025</v>
      </c>
      <c r="E963" s="0" t="str">
        <f aca="false">RIGHT(A963,3)</f>
        <v>025</v>
      </c>
      <c r="F963" s="0" t="s">
        <v>782</v>
      </c>
      <c r="G963" s="0" t="str">
        <f aca="false">MID(D963,8,1)</f>
        <v>4</v>
      </c>
      <c r="H963" s="0" t="n">
        <v>1</v>
      </c>
    </row>
    <row r="964" customFormat="false" ht="15" hidden="false" customHeight="false" outlineLevel="0" collapsed="false">
      <c r="A964" s="0" t="s">
        <v>1209</v>
      </c>
      <c r="B964" s="0" t="n">
        <v>5</v>
      </c>
      <c r="C964" s="0" t="str">
        <f aca="false">MID(A964,4,3)</f>
        <v>REN</v>
      </c>
      <c r="D964" s="0" t="str">
        <f aca="false">LEFT(A964,18)</f>
        <v>PX-REN-4A-3841-025</v>
      </c>
      <c r="E964" s="0" t="str">
        <f aca="false">RIGHT(A964,1)</f>
        <v>A</v>
      </c>
      <c r="F964" s="0" t="s">
        <v>782</v>
      </c>
      <c r="G964" s="0" t="str">
        <f aca="false">MID(D964,8,1)</f>
        <v>4</v>
      </c>
      <c r="H964" s="0" t="n">
        <v>1</v>
      </c>
    </row>
    <row r="965" customFormat="false" ht="15" hidden="false" customHeight="false" outlineLevel="0" collapsed="false">
      <c r="A965" s="0" t="s">
        <v>1210</v>
      </c>
      <c r="B965" s="0" t="n">
        <v>5</v>
      </c>
      <c r="C965" s="0" t="str">
        <f aca="false">MID(A965,4,3)</f>
        <v>REN</v>
      </c>
      <c r="D965" s="0" t="str">
        <f aca="false">LEFT(A965,18)</f>
        <v>PX-REN-4A-3841-025</v>
      </c>
      <c r="E965" s="0" t="str">
        <f aca="false">RIGHT(A965,1)</f>
        <v>B</v>
      </c>
      <c r="F965" s="0" t="s">
        <v>782</v>
      </c>
      <c r="G965" s="0" t="str">
        <f aca="false">MID(D965,8,1)</f>
        <v>4</v>
      </c>
      <c r="H965" s="0" t="n">
        <v>1</v>
      </c>
    </row>
    <row r="966" customFormat="false" ht="15" hidden="false" customHeight="false" outlineLevel="0" collapsed="false">
      <c r="A966" s="0" t="s">
        <v>1211</v>
      </c>
      <c r="B966" s="0" t="n">
        <v>5</v>
      </c>
      <c r="C966" s="0" t="str">
        <f aca="false">MID(A966,4,3)</f>
        <v>REN</v>
      </c>
      <c r="D966" s="0" t="str">
        <f aca="false">LEFT(A966,18)</f>
        <v>PX-REN-4A-3841-025</v>
      </c>
      <c r="E966" s="0" t="str">
        <f aca="false">RIGHT(A966,1)</f>
        <v>C</v>
      </c>
      <c r="F966" s="0" t="s">
        <v>782</v>
      </c>
      <c r="G966" s="0" t="str">
        <f aca="false">MID(D966,8,1)</f>
        <v>4</v>
      </c>
      <c r="H966" s="0" t="n">
        <v>1</v>
      </c>
    </row>
    <row r="967" customFormat="false" ht="15" hidden="false" customHeight="false" outlineLevel="0" collapsed="false">
      <c r="A967" s="0" t="s">
        <v>1212</v>
      </c>
      <c r="B967" s="0" t="n">
        <v>5</v>
      </c>
      <c r="C967" s="0" t="str">
        <f aca="false">MID(A967,4,3)</f>
        <v>REN</v>
      </c>
      <c r="D967" s="0" t="str">
        <f aca="false">A967</f>
        <v>PX-REN-4A-3841-050</v>
      </c>
      <c r="E967" s="0" t="str">
        <f aca="false">RIGHT(A967,3)</f>
        <v>050</v>
      </c>
      <c r="F967" s="0" t="s">
        <v>782</v>
      </c>
      <c r="G967" s="0" t="str">
        <f aca="false">MID(D967,8,1)</f>
        <v>4</v>
      </c>
      <c r="H967" s="0" t="n">
        <v>1</v>
      </c>
    </row>
    <row r="968" customFormat="false" ht="15" hidden="false" customHeight="false" outlineLevel="0" collapsed="false">
      <c r="A968" s="0" t="s">
        <v>1213</v>
      </c>
      <c r="B968" s="0" t="n">
        <v>5</v>
      </c>
      <c r="C968" s="0" t="str">
        <f aca="false">MID(A968,4,3)</f>
        <v>REN</v>
      </c>
      <c r="D968" s="0" t="str">
        <f aca="false">LEFT(A968,18)</f>
        <v>PX-REN-4A-3841-050</v>
      </c>
      <c r="E968" s="0" t="str">
        <f aca="false">RIGHT(A968,1)</f>
        <v>A</v>
      </c>
      <c r="F968" s="0" t="s">
        <v>782</v>
      </c>
      <c r="G968" s="0" t="str">
        <f aca="false">MID(D968,8,1)</f>
        <v>4</v>
      </c>
      <c r="H968" s="0" t="n">
        <v>1</v>
      </c>
    </row>
    <row r="969" customFormat="false" ht="15" hidden="false" customHeight="false" outlineLevel="0" collapsed="false">
      <c r="A969" s="0" t="s">
        <v>1214</v>
      </c>
      <c r="B969" s="0" t="n">
        <v>5</v>
      </c>
      <c r="C969" s="0" t="str">
        <f aca="false">MID(A969,4,3)</f>
        <v>REN</v>
      </c>
      <c r="D969" s="0" t="str">
        <f aca="false">LEFT(A969,18)</f>
        <v>PX-REN-4A-3841-050</v>
      </c>
      <c r="E969" s="0" t="str">
        <f aca="false">RIGHT(A969,1)</f>
        <v>B</v>
      </c>
      <c r="F969" s="0" t="s">
        <v>782</v>
      </c>
      <c r="G969" s="0" t="str">
        <f aca="false">MID(D969,8,1)</f>
        <v>4</v>
      </c>
      <c r="H969" s="0" t="n">
        <v>1</v>
      </c>
    </row>
    <row r="970" customFormat="false" ht="15" hidden="false" customHeight="false" outlineLevel="0" collapsed="false">
      <c r="A970" s="0" t="s">
        <v>1215</v>
      </c>
      <c r="B970" s="0" t="n">
        <v>5</v>
      </c>
      <c r="C970" s="0" t="str">
        <f aca="false">MID(A970,4,3)</f>
        <v>REN</v>
      </c>
      <c r="D970" s="0" t="str">
        <f aca="false">LEFT(A970,18)</f>
        <v>PX-REN-4A-3841-050</v>
      </c>
      <c r="E970" s="0" t="str">
        <f aca="false">RIGHT(A970,1)</f>
        <v>C</v>
      </c>
      <c r="F970" s="0" t="s">
        <v>782</v>
      </c>
      <c r="G970" s="0" t="str">
        <f aca="false">MID(D970,8,1)</f>
        <v>4</v>
      </c>
      <c r="H970" s="0" t="n">
        <v>1</v>
      </c>
    </row>
    <row r="971" customFormat="false" ht="15" hidden="false" customHeight="false" outlineLevel="0" collapsed="false">
      <c r="A971" s="0" t="s">
        <v>1216</v>
      </c>
      <c r="B971" s="0" t="n">
        <v>5</v>
      </c>
      <c r="C971" s="0" t="str">
        <f aca="false">MID(A971,4,3)</f>
        <v>REN</v>
      </c>
      <c r="D971" s="0" t="str">
        <f aca="false">A971</f>
        <v>PX-REN-4A-3841-075</v>
      </c>
      <c r="E971" s="0" t="str">
        <f aca="false">RIGHT(A971,3)</f>
        <v>075</v>
      </c>
      <c r="F971" s="0" t="s">
        <v>782</v>
      </c>
      <c r="G971" s="0" t="str">
        <f aca="false">MID(D971,8,1)</f>
        <v>4</v>
      </c>
      <c r="H971" s="0" t="n">
        <v>1</v>
      </c>
    </row>
    <row r="972" customFormat="false" ht="15" hidden="false" customHeight="false" outlineLevel="0" collapsed="false">
      <c r="A972" s="0" t="s">
        <v>1217</v>
      </c>
      <c r="B972" s="0" t="n">
        <v>5</v>
      </c>
      <c r="C972" s="0" t="str">
        <f aca="false">MID(A972,4,3)</f>
        <v>REN</v>
      </c>
      <c r="D972" s="0" t="str">
        <f aca="false">LEFT(A972,18)</f>
        <v>PX-REN-4A-3841-075</v>
      </c>
      <c r="E972" s="0" t="str">
        <f aca="false">RIGHT(A972,1)</f>
        <v>A</v>
      </c>
      <c r="F972" s="0" t="s">
        <v>782</v>
      </c>
      <c r="G972" s="0" t="str">
        <f aca="false">MID(D972,8,1)</f>
        <v>4</v>
      </c>
      <c r="H972" s="0" t="n">
        <v>1</v>
      </c>
    </row>
    <row r="973" customFormat="false" ht="15" hidden="false" customHeight="false" outlineLevel="0" collapsed="false">
      <c r="A973" s="0" t="s">
        <v>1218</v>
      </c>
      <c r="B973" s="0" t="n">
        <v>5</v>
      </c>
      <c r="C973" s="0" t="str">
        <f aca="false">MID(A973,4,3)</f>
        <v>REN</v>
      </c>
      <c r="D973" s="0" t="str">
        <f aca="false">LEFT(A973,18)</f>
        <v>PX-REN-4A-3841-075</v>
      </c>
      <c r="E973" s="0" t="str">
        <f aca="false">RIGHT(A973,1)</f>
        <v>B</v>
      </c>
      <c r="F973" s="0" t="s">
        <v>782</v>
      </c>
      <c r="G973" s="0" t="str">
        <f aca="false">MID(D973,8,1)</f>
        <v>4</v>
      </c>
      <c r="H973" s="0" t="n">
        <v>1</v>
      </c>
    </row>
    <row r="974" customFormat="false" ht="15" hidden="false" customHeight="false" outlineLevel="0" collapsed="false">
      <c r="A974" s="0" t="s">
        <v>1219</v>
      </c>
      <c r="B974" s="0" t="n">
        <v>5</v>
      </c>
      <c r="C974" s="0" t="str">
        <f aca="false">MID(A974,4,3)</f>
        <v>REN</v>
      </c>
      <c r="D974" s="0" t="str">
        <f aca="false">LEFT(A974,18)</f>
        <v>PX-REN-4A-3841-075</v>
      </c>
      <c r="E974" s="0" t="str">
        <f aca="false">RIGHT(A974,1)</f>
        <v>C</v>
      </c>
      <c r="F974" s="0" t="s">
        <v>782</v>
      </c>
      <c r="G974" s="0" t="str">
        <f aca="false">MID(D974,8,1)</f>
        <v>4</v>
      </c>
      <c r="H974" s="0" t="n">
        <v>1</v>
      </c>
    </row>
    <row r="975" customFormat="false" ht="15" hidden="false" customHeight="false" outlineLevel="0" collapsed="false">
      <c r="A975" s="0" t="s">
        <v>1220</v>
      </c>
      <c r="B975" s="0" t="n">
        <v>5</v>
      </c>
      <c r="C975" s="0" t="str">
        <f aca="false">MID(A975,4,3)</f>
        <v>REN</v>
      </c>
      <c r="D975" s="0" t="str">
        <f aca="false">A975</f>
        <v>PX-REN-4A-3841-100</v>
      </c>
      <c r="E975" s="0" t="str">
        <f aca="false">RIGHT(A975,3)</f>
        <v>100</v>
      </c>
      <c r="F975" s="0" t="s">
        <v>782</v>
      </c>
      <c r="G975" s="0" t="str">
        <f aca="false">MID(D975,8,1)</f>
        <v>4</v>
      </c>
      <c r="H975" s="0" t="n">
        <v>1</v>
      </c>
    </row>
    <row r="976" customFormat="false" ht="15" hidden="false" customHeight="false" outlineLevel="0" collapsed="false">
      <c r="A976" s="0" t="s">
        <v>1221</v>
      </c>
      <c r="B976" s="0" t="n">
        <v>5</v>
      </c>
      <c r="C976" s="0" t="str">
        <f aca="false">MID(A976,4,3)</f>
        <v>REN</v>
      </c>
      <c r="D976" s="0" t="str">
        <f aca="false">LEFT(A976,18)</f>
        <v>PX-REN-4A-3841-100</v>
      </c>
      <c r="E976" s="0" t="str">
        <f aca="false">RIGHT(A976,1)</f>
        <v>A</v>
      </c>
      <c r="F976" s="0" t="s">
        <v>782</v>
      </c>
      <c r="G976" s="0" t="str">
        <f aca="false">MID(D976,8,1)</f>
        <v>4</v>
      </c>
      <c r="H976" s="0" t="n">
        <v>1</v>
      </c>
    </row>
    <row r="977" customFormat="false" ht="15" hidden="false" customHeight="false" outlineLevel="0" collapsed="false">
      <c r="A977" s="0" t="s">
        <v>1222</v>
      </c>
      <c r="B977" s="0" t="n">
        <v>5</v>
      </c>
      <c r="C977" s="0" t="str">
        <f aca="false">MID(A977,4,3)</f>
        <v>REN</v>
      </c>
      <c r="D977" s="0" t="str">
        <f aca="false">LEFT(A977,18)</f>
        <v>PX-REN-4A-3841-100</v>
      </c>
      <c r="E977" s="0" t="str">
        <f aca="false">RIGHT(A977,1)</f>
        <v>B</v>
      </c>
      <c r="F977" s="0" t="s">
        <v>782</v>
      </c>
      <c r="G977" s="0" t="str">
        <f aca="false">MID(D977,8,1)</f>
        <v>4</v>
      </c>
      <c r="H977" s="0" t="n">
        <v>1</v>
      </c>
    </row>
    <row r="978" customFormat="false" ht="15" hidden="false" customHeight="false" outlineLevel="0" collapsed="false">
      <c r="A978" s="0" t="s">
        <v>1223</v>
      </c>
      <c r="B978" s="0" t="n">
        <v>5</v>
      </c>
      <c r="C978" s="0" t="str">
        <f aca="false">MID(A978,4,3)</f>
        <v>REN</v>
      </c>
      <c r="D978" s="0" t="str">
        <f aca="false">LEFT(A978,18)</f>
        <v>PX-REN-4A-3841-100</v>
      </c>
      <c r="E978" s="0" t="str">
        <f aca="false">RIGHT(A978,1)</f>
        <v>C</v>
      </c>
      <c r="F978" s="0" t="s">
        <v>782</v>
      </c>
      <c r="G978" s="0" t="str">
        <f aca="false">MID(D978,8,1)</f>
        <v>4</v>
      </c>
      <c r="H978" s="0" t="n">
        <v>1</v>
      </c>
    </row>
    <row r="979" customFormat="false" ht="15" hidden="false" customHeight="false" outlineLevel="0" collapsed="false">
      <c r="A979" s="0" t="s">
        <v>1224</v>
      </c>
      <c r="B979" s="0" t="n">
        <v>5</v>
      </c>
      <c r="C979" s="0" t="str">
        <f aca="false">MID(A979,4,3)</f>
        <v>REN</v>
      </c>
      <c r="D979" s="0" t="str">
        <f aca="false">A979</f>
        <v>PX-REN-4A-3842-000</v>
      </c>
      <c r="E979" s="0" t="str">
        <f aca="false">RIGHT(A979,3)</f>
        <v>000</v>
      </c>
      <c r="F979" s="0" t="s">
        <v>782</v>
      </c>
      <c r="G979" s="0" t="str">
        <f aca="false">MID(D979,8,1)</f>
        <v>4</v>
      </c>
      <c r="H979" s="0" t="n">
        <v>1</v>
      </c>
    </row>
    <row r="980" customFormat="false" ht="15" hidden="false" customHeight="false" outlineLevel="0" collapsed="false">
      <c r="A980" s="0" t="s">
        <v>1225</v>
      </c>
      <c r="B980" s="0" t="n">
        <v>5</v>
      </c>
      <c r="C980" s="0" t="str">
        <f aca="false">MID(A980,4,3)</f>
        <v>REN</v>
      </c>
      <c r="D980" s="0" t="str">
        <f aca="false">LEFT(A980,18)</f>
        <v>PX-REN-4A-3842-000</v>
      </c>
      <c r="E980" s="0" t="str">
        <f aca="false">RIGHT(A980,1)</f>
        <v>A</v>
      </c>
      <c r="F980" s="0" t="s">
        <v>782</v>
      </c>
      <c r="G980" s="0" t="str">
        <f aca="false">MID(D980,8,1)</f>
        <v>4</v>
      </c>
      <c r="H980" s="0" t="n">
        <v>1</v>
      </c>
    </row>
    <row r="981" customFormat="false" ht="15" hidden="false" customHeight="false" outlineLevel="0" collapsed="false">
      <c r="A981" s="0" t="s">
        <v>1226</v>
      </c>
      <c r="B981" s="0" t="n">
        <v>5</v>
      </c>
      <c r="C981" s="0" t="str">
        <f aca="false">MID(A981,4,3)</f>
        <v>REN</v>
      </c>
      <c r="D981" s="0" t="str">
        <f aca="false">LEFT(A981,18)</f>
        <v>PX-REN-4A-3842-000</v>
      </c>
      <c r="E981" s="0" t="str">
        <f aca="false">RIGHT(A981,1)</f>
        <v>B</v>
      </c>
      <c r="F981" s="0" t="s">
        <v>782</v>
      </c>
      <c r="G981" s="0" t="str">
        <f aca="false">MID(D981,8,1)</f>
        <v>4</v>
      </c>
      <c r="H981" s="0" t="n">
        <v>1</v>
      </c>
    </row>
    <row r="982" customFormat="false" ht="15" hidden="false" customHeight="false" outlineLevel="0" collapsed="false">
      <c r="A982" s="0" t="s">
        <v>1227</v>
      </c>
      <c r="B982" s="0" t="n">
        <v>5</v>
      </c>
      <c r="C982" s="0" t="str">
        <f aca="false">MID(A982,4,3)</f>
        <v>REN</v>
      </c>
      <c r="D982" s="0" t="str">
        <f aca="false">LEFT(A982,18)</f>
        <v>PX-REN-4A-3842-000</v>
      </c>
      <c r="E982" s="0" t="str">
        <f aca="false">RIGHT(A982,1)</f>
        <v>C</v>
      </c>
      <c r="F982" s="0" t="s">
        <v>782</v>
      </c>
      <c r="G982" s="0" t="str">
        <f aca="false">MID(D982,8,1)</f>
        <v>4</v>
      </c>
      <c r="H982" s="0" t="n">
        <v>1</v>
      </c>
    </row>
    <row r="983" customFormat="false" ht="15" hidden="false" customHeight="false" outlineLevel="0" collapsed="false">
      <c r="A983" s="0" t="s">
        <v>1228</v>
      </c>
      <c r="B983" s="0" t="n">
        <v>5</v>
      </c>
      <c r="C983" s="0" t="str">
        <f aca="false">MID(A983,4,3)</f>
        <v>REN</v>
      </c>
      <c r="D983" s="0" t="str">
        <f aca="false">LEFT(A983,18)</f>
        <v>PX-REN-4A-3842-000</v>
      </c>
      <c r="E983" s="0" t="str">
        <f aca="false">RIGHT(A983,1)</f>
        <v>D</v>
      </c>
      <c r="F983" s="0" t="s">
        <v>782</v>
      </c>
      <c r="G983" s="0" t="str">
        <f aca="false">MID(D983,8,1)</f>
        <v>4</v>
      </c>
      <c r="H983" s="0" t="n">
        <v>1</v>
      </c>
    </row>
    <row r="984" customFormat="false" ht="15" hidden="false" customHeight="false" outlineLevel="0" collapsed="false">
      <c r="A984" s="0" t="s">
        <v>1229</v>
      </c>
      <c r="B984" s="0" t="n">
        <v>5</v>
      </c>
      <c r="C984" s="0" t="str">
        <f aca="false">MID(A984,4,3)</f>
        <v>REN</v>
      </c>
      <c r="D984" s="0" t="str">
        <f aca="false">LEFT(A984,18)</f>
        <v>PX-REN-4A-3842-000</v>
      </c>
      <c r="E984" s="0" t="str">
        <f aca="false">RIGHT(A984,1)</f>
        <v>E</v>
      </c>
      <c r="F984" s="0" t="s">
        <v>782</v>
      </c>
      <c r="G984" s="0" t="str">
        <f aca="false">MID(D984,8,1)</f>
        <v>4</v>
      </c>
      <c r="H984" s="0" t="n">
        <v>1</v>
      </c>
    </row>
    <row r="985" customFormat="false" ht="15" hidden="false" customHeight="false" outlineLevel="0" collapsed="false">
      <c r="A985" s="0" t="s">
        <v>1230</v>
      </c>
      <c r="B985" s="0" t="n">
        <v>5</v>
      </c>
      <c r="C985" s="0" t="str">
        <f aca="false">MID(A985,4,3)</f>
        <v>REN</v>
      </c>
      <c r="D985" s="0" t="str">
        <f aca="false">A985</f>
        <v>PX-REN-4A-3842-025</v>
      </c>
      <c r="E985" s="0" t="str">
        <f aca="false">RIGHT(A985,3)</f>
        <v>025</v>
      </c>
      <c r="F985" s="0" t="s">
        <v>782</v>
      </c>
      <c r="G985" s="0" t="str">
        <f aca="false">MID(D985,8,1)</f>
        <v>4</v>
      </c>
      <c r="H985" s="0" t="n">
        <v>1</v>
      </c>
    </row>
    <row r="986" customFormat="false" ht="15" hidden="false" customHeight="false" outlineLevel="0" collapsed="false">
      <c r="A986" s="0" t="s">
        <v>1231</v>
      </c>
      <c r="B986" s="0" t="n">
        <v>5</v>
      </c>
      <c r="C986" s="0" t="str">
        <f aca="false">MID(A986,4,3)</f>
        <v>REN</v>
      </c>
      <c r="D986" s="0" t="str">
        <f aca="false">LEFT(A986,18)</f>
        <v>PX-REN-4A-3842-025</v>
      </c>
      <c r="E986" s="0" t="str">
        <f aca="false">RIGHT(A986,1)</f>
        <v>A</v>
      </c>
      <c r="F986" s="0" t="s">
        <v>782</v>
      </c>
      <c r="G986" s="0" t="str">
        <f aca="false">MID(D986,8,1)</f>
        <v>4</v>
      </c>
      <c r="H986" s="0" t="n">
        <v>1</v>
      </c>
    </row>
    <row r="987" customFormat="false" ht="15" hidden="false" customHeight="false" outlineLevel="0" collapsed="false">
      <c r="A987" s="0" t="s">
        <v>1232</v>
      </c>
      <c r="B987" s="0" t="n">
        <v>5</v>
      </c>
      <c r="C987" s="0" t="str">
        <f aca="false">MID(A987,4,3)</f>
        <v>REN</v>
      </c>
      <c r="D987" s="0" t="str">
        <f aca="false">LEFT(A987,18)</f>
        <v>PX-REN-4A-3842-025</v>
      </c>
      <c r="E987" s="0" t="str">
        <f aca="false">RIGHT(A987,1)</f>
        <v>B</v>
      </c>
      <c r="F987" s="0" t="s">
        <v>782</v>
      </c>
      <c r="G987" s="0" t="str">
        <f aca="false">MID(D987,8,1)</f>
        <v>4</v>
      </c>
      <c r="H987" s="0" t="n">
        <v>1</v>
      </c>
    </row>
    <row r="988" customFormat="false" ht="15" hidden="false" customHeight="false" outlineLevel="0" collapsed="false">
      <c r="A988" s="0" t="s">
        <v>1233</v>
      </c>
      <c r="B988" s="0" t="n">
        <v>5</v>
      </c>
      <c r="C988" s="0" t="str">
        <f aca="false">MID(A988,4,3)</f>
        <v>REN</v>
      </c>
      <c r="D988" s="0" t="str">
        <f aca="false">LEFT(A988,18)</f>
        <v>PX-REN-4A-3842-025</v>
      </c>
      <c r="E988" s="0" t="str">
        <f aca="false">RIGHT(A988,1)</f>
        <v>C</v>
      </c>
      <c r="F988" s="0" t="s">
        <v>782</v>
      </c>
      <c r="G988" s="0" t="str">
        <f aca="false">MID(D988,8,1)</f>
        <v>4</v>
      </c>
      <c r="H988" s="0" t="n">
        <v>1</v>
      </c>
    </row>
    <row r="989" customFormat="false" ht="15" hidden="false" customHeight="false" outlineLevel="0" collapsed="false">
      <c r="A989" s="0" t="s">
        <v>1234</v>
      </c>
      <c r="B989" s="0" t="n">
        <v>5</v>
      </c>
      <c r="C989" s="0" t="str">
        <f aca="false">MID(A989,4,3)</f>
        <v>REN</v>
      </c>
      <c r="D989" s="0" t="str">
        <f aca="false">A989</f>
        <v>PX-REN-4A-3842-050</v>
      </c>
      <c r="E989" s="0" t="str">
        <f aca="false">RIGHT(A989,3)</f>
        <v>050</v>
      </c>
      <c r="F989" s="0" t="s">
        <v>782</v>
      </c>
      <c r="G989" s="0" t="str">
        <f aca="false">MID(D989,8,1)</f>
        <v>4</v>
      </c>
      <c r="H989" s="0" t="n">
        <v>1</v>
      </c>
    </row>
    <row r="990" customFormat="false" ht="15" hidden="false" customHeight="false" outlineLevel="0" collapsed="false">
      <c r="A990" s="0" t="s">
        <v>1235</v>
      </c>
      <c r="B990" s="0" t="n">
        <v>5</v>
      </c>
      <c r="C990" s="0" t="str">
        <f aca="false">MID(A990,4,3)</f>
        <v>REN</v>
      </c>
      <c r="D990" s="0" t="str">
        <f aca="false">LEFT(A990,18)</f>
        <v>PX-REN-4A-3842-050</v>
      </c>
      <c r="E990" s="0" t="str">
        <f aca="false">RIGHT(A990,1)</f>
        <v>A</v>
      </c>
      <c r="F990" s="0" t="s">
        <v>782</v>
      </c>
      <c r="G990" s="0" t="str">
        <f aca="false">MID(D990,8,1)</f>
        <v>4</v>
      </c>
      <c r="H990" s="0" t="n">
        <v>1</v>
      </c>
    </row>
    <row r="991" customFormat="false" ht="15" hidden="false" customHeight="false" outlineLevel="0" collapsed="false">
      <c r="A991" s="0" t="s">
        <v>1236</v>
      </c>
      <c r="B991" s="0" t="n">
        <v>5</v>
      </c>
      <c r="C991" s="0" t="str">
        <f aca="false">MID(A991,4,3)</f>
        <v>REN</v>
      </c>
      <c r="D991" s="0" t="str">
        <f aca="false">LEFT(A991,18)</f>
        <v>PX-REN-4A-3842-050</v>
      </c>
      <c r="E991" s="0" t="str">
        <f aca="false">RIGHT(A991,1)</f>
        <v>B</v>
      </c>
      <c r="F991" s="0" t="s">
        <v>782</v>
      </c>
      <c r="G991" s="0" t="str">
        <f aca="false">MID(D991,8,1)</f>
        <v>4</v>
      </c>
      <c r="H991" s="0" t="n">
        <v>1</v>
      </c>
    </row>
    <row r="992" customFormat="false" ht="15" hidden="false" customHeight="false" outlineLevel="0" collapsed="false">
      <c r="A992" s="0" t="s">
        <v>1237</v>
      </c>
      <c r="B992" s="0" t="n">
        <v>5</v>
      </c>
      <c r="C992" s="0" t="str">
        <f aca="false">MID(A992,4,3)</f>
        <v>REN</v>
      </c>
      <c r="D992" s="0" t="str">
        <f aca="false">LEFT(A992,18)</f>
        <v>PX-REN-4A-3842-050</v>
      </c>
      <c r="E992" s="0" t="str">
        <f aca="false">RIGHT(A992,1)</f>
        <v>C</v>
      </c>
      <c r="F992" s="0" t="s">
        <v>782</v>
      </c>
      <c r="G992" s="0" t="str">
        <f aca="false">MID(D992,8,1)</f>
        <v>4</v>
      </c>
      <c r="H992" s="0" t="n">
        <v>1</v>
      </c>
    </row>
    <row r="993" customFormat="false" ht="15" hidden="false" customHeight="false" outlineLevel="0" collapsed="false">
      <c r="A993" s="0" t="s">
        <v>1238</v>
      </c>
      <c r="B993" s="0" t="n">
        <v>5</v>
      </c>
      <c r="C993" s="0" t="str">
        <f aca="false">MID(A993,4,3)</f>
        <v>REN</v>
      </c>
      <c r="D993" s="0" t="str">
        <f aca="false">A993</f>
        <v>PX-REN-4A-3842-075</v>
      </c>
      <c r="E993" s="0" t="str">
        <f aca="false">RIGHT(A993,3)</f>
        <v>075</v>
      </c>
      <c r="F993" s="0" t="s">
        <v>782</v>
      </c>
      <c r="G993" s="0" t="str">
        <f aca="false">MID(D993,8,1)</f>
        <v>4</v>
      </c>
      <c r="H993" s="0" t="n">
        <v>1</v>
      </c>
    </row>
    <row r="994" customFormat="false" ht="15" hidden="false" customHeight="false" outlineLevel="0" collapsed="false">
      <c r="A994" s="0" t="s">
        <v>1239</v>
      </c>
      <c r="B994" s="0" t="n">
        <v>5</v>
      </c>
      <c r="C994" s="0" t="str">
        <f aca="false">MID(A994,4,3)</f>
        <v>REN</v>
      </c>
      <c r="D994" s="0" t="str">
        <f aca="false">LEFT(A994,18)</f>
        <v>PX-REN-4A-3842-075</v>
      </c>
      <c r="E994" s="0" t="str">
        <f aca="false">RIGHT(A994,1)</f>
        <v>A</v>
      </c>
      <c r="F994" s="0" t="s">
        <v>782</v>
      </c>
      <c r="G994" s="0" t="str">
        <f aca="false">MID(D994,8,1)</f>
        <v>4</v>
      </c>
      <c r="H994" s="0" t="n">
        <v>1</v>
      </c>
    </row>
    <row r="995" customFormat="false" ht="15" hidden="false" customHeight="false" outlineLevel="0" collapsed="false">
      <c r="A995" s="0" t="s">
        <v>1240</v>
      </c>
      <c r="B995" s="0" t="n">
        <v>5</v>
      </c>
      <c r="C995" s="0" t="str">
        <f aca="false">MID(A995,4,3)</f>
        <v>REN</v>
      </c>
      <c r="D995" s="0" t="str">
        <f aca="false">LEFT(A995,18)</f>
        <v>PX-REN-4A-3842-075</v>
      </c>
      <c r="E995" s="0" t="str">
        <f aca="false">RIGHT(A995,1)</f>
        <v>B</v>
      </c>
      <c r="F995" s="0" t="s">
        <v>782</v>
      </c>
      <c r="G995" s="0" t="str">
        <f aca="false">MID(D995,8,1)</f>
        <v>4</v>
      </c>
      <c r="H995" s="0" t="n">
        <v>1</v>
      </c>
    </row>
    <row r="996" customFormat="false" ht="15" hidden="false" customHeight="false" outlineLevel="0" collapsed="false">
      <c r="A996" s="0" t="s">
        <v>1241</v>
      </c>
      <c r="B996" s="0" t="n">
        <v>5</v>
      </c>
      <c r="C996" s="0" t="str">
        <f aca="false">MID(A996,4,3)</f>
        <v>REN</v>
      </c>
      <c r="D996" s="0" t="str">
        <f aca="false">LEFT(A996,18)</f>
        <v>PX-REN-4A-3842-075</v>
      </c>
      <c r="E996" s="0" t="str">
        <f aca="false">RIGHT(A996,1)</f>
        <v>C</v>
      </c>
      <c r="F996" s="0" t="s">
        <v>782</v>
      </c>
      <c r="G996" s="0" t="str">
        <f aca="false">MID(D996,8,1)</f>
        <v>4</v>
      </c>
      <c r="H996" s="0" t="n">
        <v>1</v>
      </c>
    </row>
    <row r="997" customFormat="false" ht="15" hidden="false" customHeight="false" outlineLevel="0" collapsed="false">
      <c r="A997" s="0" t="s">
        <v>1242</v>
      </c>
      <c r="B997" s="0" t="n">
        <v>5</v>
      </c>
      <c r="C997" s="0" t="str">
        <f aca="false">MID(A997,4,3)</f>
        <v>REN</v>
      </c>
      <c r="D997" s="0" t="str">
        <f aca="false">A997</f>
        <v>PX-REN-4A-3842-100</v>
      </c>
      <c r="E997" s="0" t="str">
        <f aca="false">RIGHT(A997,3)</f>
        <v>100</v>
      </c>
      <c r="F997" s="0" t="s">
        <v>782</v>
      </c>
      <c r="G997" s="0" t="str">
        <f aca="false">MID(D997,8,1)</f>
        <v>4</v>
      </c>
      <c r="H997" s="0" t="n">
        <v>1</v>
      </c>
    </row>
    <row r="998" customFormat="false" ht="15" hidden="false" customHeight="false" outlineLevel="0" collapsed="false">
      <c r="A998" s="0" t="s">
        <v>1243</v>
      </c>
      <c r="B998" s="0" t="n">
        <v>5</v>
      </c>
      <c r="C998" s="0" t="str">
        <f aca="false">MID(A998,4,3)</f>
        <v>REN</v>
      </c>
      <c r="D998" s="0" t="str">
        <f aca="false">LEFT(A998,18)</f>
        <v>PX-REN-4A-3842-100</v>
      </c>
      <c r="E998" s="0" t="str">
        <f aca="false">RIGHT(A998,1)</f>
        <v>A</v>
      </c>
      <c r="F998" s="0" t="s">
        <v>782</v>
      </c>
      <c r="G998" s="0" t="str">
        <f aca="false">MID(D998,8,1)</f>
        <v>4</v>
      </c>
      <c r="H998" s="0" t="n">
        <v>1</v>
      </c>
    </row>
    <row r="999" customFormat="false" ht="15" hidden="false" customHeight="false" outlineLevel="0" collapsed="false">
      <c r="A999" s="0" t="s">
        <v>1244</v>
      </c>
      <c r="B999" s="0" t="n">
        <v>5</v>
      </c>
      <c r="C999" s="0" t="str">
        <f aca="false">MID(A999,4,3)</f>
        <v>REN</v>
      </c>
      <c r="D999" s="0" t="str">
        <f aca="false">LEFT(A999,18)</f>
        <v>PX-REN-4A-3842-100</v>
      </c>
      <c r="E999" s="0" t="str">
        <f aca="false">RIGHT(A999,1)</f>
        <v>B</v>
      </c>
      <c r="F999" s="0" t="s">
        <v>782</v>
      </c>
      <c r="G999" s="0" t="str">
        <f aca="false">MID(D999,8,1)</f>
        <v>4</v>
      </c>
      <c r="H999" s="0" t="n">
        <v>1</v>
      </c>
    </row>
    <row r="1000" customFormat="false" ht="15" hidden="false" customHeight="false" outlineLevel="0" collapsed="false">
      <c r="A1000" s="0" t="s">
        <v>1245</v>
      </c>
      <c r="B1000" s="0" t="n">
        <v>5</v>
      </c>
      <c r="C1000" s="0" t="str">
        <f aca="false">MID(A1000,4,3)</f>
        <v>REN</v>
      </c>
      <c r="D1000" s="0" t="str">
        <f aca="false">LEFT(A1000,18)</f>
        <v>PX-REN-4A-3842-100</v>
      </c>
      <c r="E1000" s="0" t="str">
        <f aca="false">RIGHT(A1000,1)</f>
        <v>C</v>
      </c>
      <c r="F1000" s="0" t="s">
        <v>782</v>
      </c>
      <c r="G1000" s="0" t="str">
        <f aca="false">MID(D1000,8,1)</f>
        <v>4</v>
      </c>
      <c r="H1000" s="0" t="n">
        <v>1</v>
      </c>
    </row>
    <row r="1001" customFormat="false" ht="15" hidden="false" customHeight="false" outlineLevel="0" collapsed="false">
      <c r="A1001" s="0" t="s">
        <v>1246</v>
      </c>
      <c r="B1001" s="0" t="n">
        <v>5</v>
      </c>
      <c r="C1001" s="0" t="str">
        <f aca="false">MID(A1001,4,3)</f>
        <v>SEN</v>
      </c>
      <c r="D1001" s="0" t="str">
        <f aca="false">LEFT(A1001,LEN(A1001)-4)</f>
        <v>PX-SEN-4A-4125</v>
      </c>
      <c r="E1001" s="0" t="str">
        <f aca="false">RIGHT(A1001,3)</f>
        <v>000</v>
      </c>
      <c r="F1001" s="0" t="s">
        <v>782</v>
      </c>
      <c r="G1001" s="0" t="str">
        <f aca="false">MID(D1001,8,1)</f>
        <v>4</v>
      </c>
      <c r="H1001" s="0" t="n">
        <v>1</v>
      </c>
    </row>
    <row r="1002" customFormat="false" ht="15" hidden="false" customHeight="false" outlineLevel="0" collapsed="false">
      <c r="A1002" s="0" t="s">
        <v>1247</v>
      </c>
      <c r="B1002" s="0" t="n">
        <v>5</v>
      </c>
      <c r="C1002" s="0" t="str">
        <f aca="false">MID(A1002,4,3)</f>
        <v>SEN</v>
      </c>
      <c r="D1002" s="0" t="str">
        <f aca="false">LEFT(A1002,LEN(A1002)-4)</f>
        <v>PX-SEN-4A-4125</v>
      </c>
      <c r="E1002" s="0" t="str">
        <f aca="false">RIGHT(A1002,3)</f>
        <v>025</v>
      </c>
      <c r="F1002" s="0" t="s">
        <v>782</v>
      </c>
      <c r="G1002" s="0" t="str">
        <f aca="false">MID(D1002,8,1)</f>
        <v>4</v>
      </c>
      <c r="H1002" s="0" t="n">
        <v>1</v>
      </c>
    </row>
    <row r="1003" customFormat="false" ht="15" hidden="false" customHeight="false" outlineLevel="0" collapsed="false">
      <c r="A1003" s="0" t="s">
        <v>1248</v>
      </c>
      <c r="B1003" s="0" t="n">
        <v>5</v>
      </c>
      <c r="C1003" s="0" t="str">
        <f aca="false">MID(A1003,4,3)</f>
        <v>SEN</v>
      </c>
      <c r="D1003" s="0" t="str">
        <f aca="false">LEFT(A1003,LEN(A1003)-4)</f>
        <v>PX-SEN-4A-4125</v>
      </c>
      <c r="E1003" s="0" t="str">
        <f aca="false">RIGHT(A1003,3)</f>
        <v>050</v>
      </c>
      <c r="F1003" s="0" t="s">
        <v>782</v>
      </c>
      <c r="G1003" s="0" t="str">
        <f aca="false">MID(D1003,8,1)</f>
        <v>4</v>
      </c>
      <c r="H1003" s="0" t="n">
        <v>1</v>
      </c>
    </row>
    <row r="1004" customFormat="false" ht="15" hidden="false" customHeight="false" outlineLevel="0" collapsed="false">
      <c r="A1004" s="0" t="s">
        <v>1249</v>
      </c>
      <c r="B1004" s="0" t="n">
        <v>5</v>
      </c>
      <c r="C1004" s="0" t="str">
        <f aca="false">MID(A1004,4,3)</f>
        <v>SEN</v>
      </c>
      <c r="D1004" s="0" t="str">
        <f aca="false">LEFT(A1004,LEN(A1004)-4)</f>
        <v>PX-SEN-4A-4126</v>
      </c>
      <c r="E1004" s="0" t="str">
        <f aca="false">RIGHT(A1004,3)</f>
        <v>000</v>
      </c>
      <c r="F1004" s="0" t="s">
        <v>782</v>
      </c>
      <c r="G1004" s="0" t="str">
        <f aca="false">MID(D1004,8,1)</f>
        <v>4</v>
      </c>
      <c r="H1004" s="0" t="n">
        <v>1</v>
      </c>
    </row>
    <row r="1005" customFormat="false" ht="15" hidden="false" customHeight="false" outlineLevel="0" collapsed="false">
      <c r="A1005" s="0" t="s">
        <v>1250</v>
      </c>
      <c r="B1005" s="0" t="n">
        <v>5</v>
      </c>
      <c r="C1005" s="0" t="str">
        <f aca="false">MID(A1005,4,3)</f>
        <v>SEN</v>
      </c>
      <c r="D1005" s="0" t="str">
        <f aca="false">LEFT(A1005,LEN(A1005)-4)</f>
        <v>PX-SEN-4A-4126</v>
      </c>
      <c r="E1005" s="0" t="str">
        <f aca="false">RIGHT(A1005,3)</f>
        <v>025</v>
      </c>
      <c r="F1005" s="0" t="s">
        <v>782</v>
      </c>
      <c r="G1005" s="0" t="str">
        <f aca="false">MID(D1005,8,1)</f>
        <v>4</v>
      </c>
      <c r="H1005" s="0" t="n">
        <v>1</v>
      </c>
    </row>
    <row r="1006" customFormat="false" ht="15" hidden="false" customHeight="false" outlineLevel="0" collapsed="false">
      <c r="A1006" s="0" t="s">
        <v>1251</v>
      </c>
      <c r="B1006" s="0" t="n">
        <v>5</v>
      </c>
      <c r="C1006" s="0" t="str">
        <f aca="false">MID(A1006,4,3)</f>
        <v>SEN</v>
      </c>
      <c r="D1006" s="0" t="str">
        <f aca="false">LEFT(A1006,LEN(A1006)-4)</f>
        <v>PX-SEN-4A-4126</v>
      </c>
      <c r="E1006" s="0" t="str">
        <f aca="false">RIGHT(A1006,3)</f>
        <v>050</v>
      </c>
      <c r="F1006" s="0" t="s">
        <v>782</v>
      </c>
      <c r="G1006" s="0" t="str">
        <f aca="false">MID(D1006,8,1)</f>
        <v>4</v>
      </c>
      <c r="H1006" s="0" t="n">
        <v>1</v>
      </c>
    </row>
    <row r="1007" customFormat="false" ht="15" hidden="false" customHeight="false" outlineLevel="0" collapsed="false">
      <c r="A1007" s="0" t="s">
        <v>1252</v>
      </c>
      <c r="B1007" s="0" t="n">
        <v>5</v>
      </c>
      <c r="C1007" s="0" t="str">
        <f aca="false">MID(A1007,4,3)</f>
        <v>SEN</v>
      </c>
      <c r="D1007" s="0" t="str">
        <f aca="false">LEFT(A1007,LEN(A1007)-4)</f>
        <v>PX-SEN-4F-4125</v>
      </c>
      <c r="E1007" s="0" t="str">
        <f aca="false">RIGHT(A1007,3)</f>
        <v>000</v>
      </c>
      <c r="F1007" s="0" t="s">
        <v>782</v>
      </c>
      <c r="G1007" s="0" t="str">
        <f aca="false">MID(D1007,8,1)</f>
        <v>4</v>
      </c>
      <c r="H1007" s="0" t="n">
        <v>1</v>
      </c>
    </row>
    <row r="1008" customFormat="false" ht="15" hidden="false" customHeight="false" outlineLevel="0" collapsed="false">
      <c r="A1008" s="0" t="s">
        <v>1253</v>
      </c>
      <c r="B1008" s="0" t="n">
        <v>5</v>
      </c>
      <c r="C1008" s="0" t="str">
        <f aca="false">MID(A1008,4,3)</f>
        <v>SEN</v>
      </c>
      <c r="D1008" s="0" t="str">
        <f aca="false">LEFT(A1008,LEN(A1008)-4)</f>
        <v>PX-SEN-4F-4125</v>
      </c>
      <c r="E1008" s="0" t="str">
        <f aca="false">RIGHT(A1008,3)</f>
        <v>025</v>
      </c>
      <c r="F1008" s="0" t="s">
        <v>782</v>
      </c>
      <c r="G1008" s="0" t="str">
        <f aca="false">MID(D1008,8,1)</f>
        <v>4</v>
      </c>
      <c r="H1008" s="0" t="n">
        <v>1</v>
      </c>
    </row>
    <row r="1009" customFormat="false" ht="15" hidden="false" customHeight="false" outlineLevel="0" collapsed="false">
      <c r="A1009" s="0" t="s">
        <v>1254</v>
      </c>
      <c r="B1009" s="0" t="n">
        <v>5</v>
      </c>
      <c r="C1009" s="0" t="str">
        <f aca="false">MID(A1009,4,3)</f>
        <v>SEN</v>
      </c>
      <c r="D1009" s="0" t="str">
        <f aca="false">LEFT(A1009,LEN(A1009)-4)</f>
        <v>PX-SEN-4F-4125</v>
      </c>
      <c r="E1009" s="0" t="str">
        <f aca="false">RIGHT(A1009,3)</f>
        <v>050</v>
      </c>
      <c r="F1009" s="0" t="s">
        <v>782</v>
      </c>
      <c r="G1009" s="0" t="str">
        <f aca="false">MID(D1009,8,1)</f>
        <v>4</v>
      </c>
      <c r="H1009" s="0" t="n">
        <v>1</v>
      </c>
    </row>
    <row r="1010" customFormat="false" ht="15" hidden="false" customHeight="false" outlineLevel="0" collapsed="false">
      <c r="A1010" s="0" t="s">
        <v>1255</v>
      </c>
      <c r="B1010" s="0" t="n">
        <v>5</v>
      </c>
      <c r="C1010" s="0" t="str">
        <f aca="false">MID(A1010,4,3)</f>
        <v>SEN</v>
      </c>
      <c r="D1010" s="0" t="str">
        <f aca="false">LEFT(A1010,LEN(A1010)-4)</f>
        <v>PX-SEN-4F-4126</v>
      </c>
      <c r="E1010" s="0" t="str">
        <f aca="false">RIGHT(A1010,3)</f>
        <v>000</v>
      </c>
      <c r="F1010" s="0" t="s">
        <v>782</v>
      </c>
      <c r="G1010" s="0" t="str">
        <f aca="false">MID(D1010,8,1)</f>
        <v>4</v>
      </c>
      <c r="H1010" s="0" t="n">
        <v>1</v>
      </c>
    </row>
    <row r="1011" customFormat="false" ht="15" hidden="false" customHeight="false" outlineLevel="0" collapsed="false">
      <c r="A1011" s="0" t="s">
        <v>1256</v>
      </c>
      <c r="B1011" s="0" t="n">
        <v>5</v>
      </c>
      <c r="C1011" s="0" t="str">
        <f aca="false">MID(A1011,4,3)</f>
        <v>SEN</v>
      </c>
      <c r="D1011" s="0" t="str">
        <f aca="false">LEFT(A1011,LEN(A1011)-4)</f>
        <v>PX-SEN-4F-4126</v>
      </c>
      <c r="E1011" s="0" t="str">
        <f aca="false">RIGHT(A1011,3)</f>
        <v>025</v>
      </c>
      <c r="F1011" s="0" t="s">
        <v>782</v>
      </c>
      <c r="G1011" s="0" t="str">
        <f aca="false">MID(D1011,8,1)</f>
        <v>4</v>
      </c>
      <c r="H1011" s="0" t="n">
        <v>1</v>
      </c>
    </row>
    <row r="1012" customFormat="false" ht="15" hidden="false" customHeight="false" outlineLevel="0" collapsed="false">
      <c r="A1012" s="0" t="s">
        <v>1257</v>
      </c>
      <c r="B1012" s="0" t="n">
        <v>5</v>
      </c>
      <c r="C1012" s="0" t="str">
        <f aca="false">MID(A1012,4,3)</f>
        <v>SEN</v>
      </c>
      <c r="D1012" s="0" t="str">
        <f aca="false">LEFT(A1012,LEN(A1012)-4)</f>
        <v>PX-SEN-4F-4126</v>
      </c>
      <c r="E1012" s="0" t="str">
        <f aca="false">RIGHT(A1012,3)</f>
        <v>050</v>
      </c>
      <c r="F1012" s="0" t="s">
        <v>782</v>
      </c>
      <c r="G1012" s="0" t="str">
        <f aca="false">MID(D1012,8,1)</f>
        <v>4</v>
      </c>
      <c r="H1012" s="0" t="n">
        <v>1</v>
      </c>
    </row>
    <row r="1013" customFormat="false" ht="15" hidden="false" customHeight="false" outlineLevel="0" collapsed="false">
      <c r="A1013" s="0" t="s">
        <v>1258</v>
      </c>
      <c r="B1013" s="0" t="n">
        <v>5</v>
      </c>
      <c r="C1013" s="0" t="str">
        <f aca="false">MID(A1013,4,3)</f>
        <v>SEN</v>
      </c>
      <c r="D1013" s="0" t="str">
        <f aca="false">LEFT(A1013,LEN(A1013)-4)</f>
        <v>PX-SEN-4G-4125</v>
      </c>
      <c r="E1013" s="0" t="str">
        <f aca="false">RIGHT(A1013,3)</f>
        <v>000</v>
      </c>
      <c r="F1013" s="0" t="s">
        <v>782</v>
      </c>
      <c r="G1013" s="0" t="str">
        <f aca="false">MID(D1013,8,1)</f>
        <v>4</v>
      </c>
      <c r="H1013" s="0" t="n">
        <v>1</v>
      </c>
    </row>
    <row r="1014" customFormat="false" ht="15" hidden="false" customHeight="false" outlineLevel="0" collapsed="false">
      <c r="A1014" s="0" t="s">
        <v>1259</v>
      </c>
      <c r="B1014" s="0" t="n">
        <v>5</v>
      </c>
      <c r="C1014" s="0" t="str">
        <f aca="false">MID(A1014,4,3)</f>
        <v>SEN</v>
      </c>
      <c r="D1014" s="0" t="str">
        <f aca="false">LEFT(A1014,LEN(A1014)-4)</f>
        <v>PX-SEN-4G-4125</v>
      </c>
      <c r="E1014" s="0" t="str">
        <f aca="false">RIGHT(A1014,3)</f>
        <v>025</v>
      </c>
      <c r="F1014" s="0" t="s">
        <v>782</v>
      </c>
      <c r="G1014" s="0" t="str">
        <f aca="false">MID(D1014,8,1)</f>
        <v>4</v>
      </c>
      <c r="H1014" s="0" t="n">
        <v>1</v>
      </c>
    </row>
    <row r="1015" customFormat="false" ht="15" hidden="false" customHeight="false" outlineLevel="0" collapsed="false">
      <c r="A1015" s="0" t="s">
        <v>1260</v>
      </c>
      <c r="B1015" s="0" t="n">
        <v>5</v>
      </c>
      <c r="C1015" s="0" t="str">
        <f aca="false">MID(A1015,4,3)</f>
        <v>SEN</v>
      </c>
      <c r="D1015" s="0" t="str">
        <f aca="false">LEFT(A1015,LEN(A1015)-4)</f>
        <v>PX-SEN-4G-4125</v>
      </c>
      <c r="E1015" s="0" t="str">
        <f aca="false">RIGHT(A1015,3)</f>
        <v>050</v>
      </c>
      <c r="F1015" s="0" t="s">
        <v>782</v>
      </c>
      <c r="G1015" s="0" t="str">
        <f aca="false">MID(D1015,8,1)</f>
        <v>4</v>
      </c>
      <c r="H1015" s="0" t="n">
        <v>1</v>
      </c>
    </row>
    <row r="1016" customFormat="false" ht="15" hidden="false" customHeight="false" outlineLevel="0" collapsed="false">
      <c r="A1016" s="0" t="s">
        <v>1261</v>
      </c>
      <c r="B1016" s="0" t="n">
        <v>5</v>
      </c>
      <c r="C1016" s="0" t="str">
        <f aca="false">MID(A1016,4,3)</f>
        <v>TAV</v>
      </c>
      <c r="D1016" s="0" t="str">
        <f aca="false">CONCATENATE(LEFT(A1016,15),2)</f>
        <v>PX-TAV-4A-4120-2</v>
      </c>
      <c r="E1016" s="0" t="str">
        <f aca="false">MID(A1016,16,3)</f>
        <v>000</v>
      </c>
      <c r="F1016" s="0" t="s">
        <v>782</v>
      </c>
      <c r="G1016" s="0" t="str">
        <f aca="false">MID(D1016,8,1)</f>
        <v>4</v>
      </c>
      <c r="H1016" s="0" t="n">
        <v>1</v>
      </c>
    </row>
    <row r="1017" customFormat="false" ht="15" hidden="false" customHeight="false" outlineLevel="0" collapsed="false">
      <c r="A1017" s="0" t="s">
        <v>1262</v>
      </c>
      <c r="B1017" s="0" t="n">
        <v>5</v>
      </c>
      <c r="C1017" s="0" t="str">
        <f aca="false">MID(A1017,4,3)</f>
        <v>TAV</v>
      </c>
      <c r="D1017" s="0" t="str">
        <f aca="false">CONCATENATE(LEFT(A1017,15),2)</f>
        <v>PX-TAV-4A-4120-2</v>
      </c>
      <c r="E1017" s="0" t="str">
        <f aca="false">MID(A1017,16,3)</f>
        <v>025</v>
      </c>
      <c r="F1017" s="0" t="s">
        <v>782</v>
      </c>
      <c r="G1017" s="0" t="str">
        <f aca="false">MID(D1017,8,1)</f>
        <v>4</v>
      </c>
      <c r="H1017" s="0" t="n">
        <v>1</v>
      </c>
    </row>
    <row r="1018" customFormat="false" ht="15" hidden="false" customHeight="false" outlineLevel="0" collapsed="false">
      <c r="A1018" s="0" t="s">
        <v>1263</v>
      </c>
      <c r="B1018" s="0" t="n">
        <v>5</v>
      </c>
      <c r="C1018" s="0" t="str">
        <f aca="false">MID(A1018,4,3)</f>
        <v>TAV</v>
      </c>
      <c r="D1018" s="0" t="str">
        <f aca="false">CONCATENATE(LEFT(A1018,15),2)</f>
        <v>PX-TAV-4A-4120-2</v>
      </c>
      <c r="E1018" s="0" t="str">
        <f aca="false">MID(A1018,16,3)</f>
        <v>050</v>
      </c>
      <c r="F1018" s="0" t="s">
        <v>782</v>
      </c>
      <c r="G1018" s="0" t="str">
        <f aca="false">MID(D1018,8,1)</f>
        <v>4</v>
      </c>
      <c r="H1018" s="0" t="n">
        <v>1</v>
      </c>
    </row>
    <row r="1019" customFormat="false" ht="15" hidden="false" customHeight="false" outlineLevel="0" collapsed="false">
      <c r="A1019" s="0" t="s">
        <v>1264</v>
      </c>
      <c r="B1019" s="0" t="n">
        <v>5</v>
      </c>
      <c r="C1019" s="0" t="str">
        <f aca="false">MID(A1019,4,3)</f>
        <v>TAV</v>
      </c>
      <c r="D1019" s="0" t="str">
        <f aca="false">CONCATENATE(LEFT(A1019,15),2)</f>
        <v>PX-TAV-4A-4120-2</v>
      </c>
      <c r="E1019" s="0" t="str">
        <f aca="false">MID(A1019,16,3)</f>
        <v>100</v>
      </c>
      <c r="F1019" s="0" t="s">
        <v>782</v>
      </c>
      <c r="G1019" s="0" t="str">
        <f aca="false">MID(D1019,8,1)</f>
        <v>4</v>
      </c>
      <c r="H1019" s="0" t="n">
        <v>1</v>
      </c>
    </row>
    <row r="1020" customFormat="false" ht="15" hidden="false" customHeight="false" outlineLevel="0" collapsed="false">
      <c r="A1020" s="0" t="s">
        <v>1265</v>
      </c>
      <c r="B1020" s="0" t="n">
        <v>5</v>
      </c>
      <c r="C1020" s="0" t="str">
        <f aca="false">MID(A1020,4,3)</f>
        <v>TAV</v>
      </c>
      <c r="D1020" s="0" t="str">
        <f aca="false">LEFT(A1020,LEN(A1020)-4)</f>
        <v>PX-TAV-4F-4120</v>
      </c>
      <c r="E1020" s="0" t="str">
        <f aca="false">RIGHT(A1020,3)</f>
        <v>000</v>
      </c>
      <c r="F1020" s="0" t="s">
        <v>782</v>
      </c>
      <c r="G1020" s="0" t="str">
        <f aca="false">MID(D1020,8,1)</f>
        <v>4</v>
      </c>
      <c r="H1020" s="0" t="n">
        <v>1</v>
      </c>
    </row>
    <row r="1021" customFormat="false" ht="15" hidden="false" customHeight="false" outlineLevel="0" collapsed="false">
      <c r="A1021" s="0" t="s">
        <v>1266</v>
      </c>
      <c r="B1021" s="0" t="n">
        <v>5</v>
      </c>
      <c r="C1021" s="0" t="str">
        <f aca="false">MID(A1021,4,3)</f>
        <v>TAV</v>
      </c>
      <c r="D1021" s="0" t="str">
        <f aca="false">LEFT(A1021,LEN(A1021)-4)</f>
        <v>PX-TAV-4F-4120</v>
      </c>
      <c r="E1021" s="0" t="str">
        <f aca="false">RIGHT(A1021,3)</f>
        <v>025</v>
      </c>
      <c r="F1021" s="0" t="s">
        <v>782</v>
      </c>
      <c r="G1021" s="0" t="str">
        <f aca="false">MID(D1021,8,1)</f>
        <v>4</v>
      </c>
      <c r="H1021" s="0" t="n">
        <v>1</v>
      </c>
    </row>
    <row r="1022" customFormat="false" ht="15" hidden="false" customHeight="false" outlineLevel="0" collapsed="false">
      <c r="A1022" s="0" t="s">
        <v>1267</v>
      </c>
      <c r="B1022" s="0" t="n">
        <v>5</v>
      </c>
      <c r="C1022" s="0" t="str">
        <f aca="false">MID(A1022,4,3)</f>
        <v>TAV</v>
      </c>
      <c r="D1022" s="0" t="str">
        <f aca="false">LEFT(A1022,LEN(A1022)-4)</f>
        <v>PX-TAV-4F-4120</v>
      </c>
      <c r="E1022" s="0" t="str">
        <f aca="false">RIGHT(A1022,3)</f>
        <v>050</v>
      </c>
      <c r="F1022" s="0" t="s">
        <v>782</v>
      </c>
      <c r="G1022" s="0" t="str">
        <f aca="false">MID(D1022,8,1)</f>
        <v>4</v>
      </c>
      <c r="H1022" s="0" t="n">
        <v>1</v>
      </c>
    </row>
    <row r="1023" customFormat="false" ht="15" hidden="false" customHeight="false" outlineLevel="0" collapsed="false">
      <c r="A1023" s="0" t="s">
        <v>1268</v>
      </c>
      <c r="B1023" s="0" t="n">
        <v>5</v>
      </c>
      <c r="C1023" s="0" t="str">
        <f aca="false">MID(A1023,4,3)</f>
        <v>TAV</v>
      </c>
      <c r="D1023" s="0" t="str">
        <f aca="false">LEFT(A1023,LEN(A1023)-4)</f>
        <v>PX-TAV-4F-4120</v>
      </c>
      <c r="E1023" s="0" t="str">
        <f aca="false">RIGHT(A1023,3)</f>
        <v>100</v>
      </c>
      <c r="F1023" s="0" t="s">
        <v>782</v>
      </c>
      <c r="G1023" s="0" t="str">
        <f aca="false">MID(D1023,8,1)</f>
        <v>4</v>
      </c>
      <c r="H1023" s="0" t="n">
        <v>1</v>
      </c>
    </row>
    <row r="1024" customFormat="false" ht="15" hidden="false" customHeight="false" outlineLevel="0" collapsed="false">
      <c r="A1024" s="0" t="s">
        <v>1269</v>
      </c>
      <c r="B1024" s="0" t="n">
        <v>5</v>
      </c>
      <c r="C1024" s="0" t="str">
        <f aca="false">MID(A1024,4,3)</f>
        <v>TAV</v>
      </c>
      <c r="D1024" s="0" t="str">
        <f aca="false">CONCATENATE(LEFT(A1024,15),2)</f>
        <v>PX-TAV-4F-4120-2</v>
      </c>
      <c r="E1024" s="0" t="str">
        <f aca="false">MID(A1024,16,3)</f>
        <v>000</v>
      </c>
      <c r="F1024" s="0" t="s">
        <v>782</v>
      </c>
      <c r="G1024" s="0" t="str">
        <f aca="false">MID(D1024,8,1)</f>
        <v>4</v>
      </c>
      <c r="H1024" s="0" t="n">
        <v>1</v>
      </c>
    </row>
    <row r="1025" customFormat="false" ht="15" hidden="false" customHeight="false" outlineLevel="0" collapsed="false">
      <c r="A1025" s="0" t="s">
        <v>1270</v>
      </c>
      <c r="B1025" s="0" t="n">
        <v>5</v>
      </c>
      <c r="C1025" s="0" t="str">
        <f aca="false">MID(A1025,4,3)</f>
        <v>TAV</v>
      </c>
      <c r="D1025" s="0" t="str">
        <f aca="false">CONCATENATE(LEFT(A1025,15),2)</f>
        <v>PX-TAV-4F-4120-2</v>
      </c>
      <c r="E1025" s="0" t="str">
        <f aca="false">MID(A1025,16,3)</f>
        <v>025</v>
      </c>
      <c r="F1025" s="0" t="s">
        <v>782</v>
      </c>
      <c r="G1025" s="0" t="str">
        <f aca="false">MID(D1025,8,1)</f>
        <v>4</v>
      </c>
      <c r="H1025" s="0" t="n">
        <v>1</v>
      </c>
    </row>
    <row r="1026" customFormat="false" ht="15" hidden="false" customHeight="false" outlineLevel="0" collapsed="false">
      <c r="A1026" s="0" t="s">
        <v>1271</v>
      </c>
      <c r="B1026" s="0" t="n">
        <v>5</v>
      </c>
      <c r="C1026" s="0" t="str">
        <f aca="false">MID(A1026,4,3)</f>
        <v>TAV</v>
      </c>
      <c r="D1026" s="0" t="str">
        <f aca="false">CONCATENATE(LEFT(A1026,15),2)</f>
        <v>PX-TAV-4F-4120-2</v>
      </c>
      <c r="E1026" s="0" t="str">
        <f aca="false">MID(A1026,16,3)</f>
        <v>050</v>
      </c>
      <c r="F1026" s="0" t="s">
        <v>782</v>
      </c>
      <c r="G1026" s="0" t="str">
        <f aca="false">MID(D1026,8,1)</f>
        <v>4</v>
      </c>
      <c r="H1026" s="0" t="n">
        <v>1</v>
      </c>
    </row>
    <row r="1027" customFormat="false" ht="15" hidden="false" customHeight="false" outlineLevel="0" collapsed="false">
      <c r="A1027" s="0" t="s">
        <v>1272</v>
      </c>
      <c r="B1027" s="0" t="n">
        <v>5</v>
      </c>
      <c r="C1027" s="0" t="str">
        <f aca="false">MID(A1027,4,3)</f>
        <v>TAV</v>
      </c>
      <c r="D1027" s="0" t="str">
        <f aca="false">CONCATENATE(LEFT(A1027,15),2)</f>
        <v>PX-TAV-4F-4120-2</v>
      </c>
      <c r="E1027" s="0" t="str">
        <f aca="false">MID(A1027,16,3)</f>
        <v>100</v>
      </c>
      <c r="F1027" s="0" t="s">
        <v>782</v>
      </c>
      <c r="G1027" s="0" t="str">
        <f aca="false">MID(D1027,8,1)</f>
        <v>4</v>
      </c>
      <c r="H1027" s="0" t="n">
        <v>1</v>
      </c>
    </row>
    <row r="1028" customFormat="false" ht="15" hidden="false" customHeight="false" outlineLevel="0" collapsed="false">
      <c r="A1028" s="0" t="s">
        <v>1273</v>
      </c>
      <c r="B1028" s="0" t="n">
        <v>5</v>
      </c>
      <c r="C1028" s="0" t="str">
        <f aca="false">MID(A1028,4,3)</f>
        <v>TAV</v>
      </c>
      <c r="D1028" s="0" t="str">
        <f aca="false">CONCATENATE(LEFT(A1028,15),2)</f>
        <v>PX-TAV-4G-4120-2</v>
      </c>
      <c r="E1028" s="0" t="str">
        <f aca="false">MID(A1028,16,3)</f>
        <v>000</v>
      </c>
      <c r="F1028" s="0" t="s">
        <v>782</v>
      </c>
      <c r="G1028" s="0" t="str">
        <f aca="false">MID(D1028,8,1)</f>
        <v>4</v>
      </c>
      <c r="H1028" s="0" t="n">
        <v>1</v>
      </c>
    </row>
    <row r="1029" customFormat="false" ht="15" hidden="false" customHeight="false" outlineLevel="0" collapsed="false">
      <c r="A1029" s="0" t="s">
        <v>1274</v>
      </c>
      <c r="B1029" s="0" t="n">
        <v>5</v>
      </c>
      <c r="C1029" s="0" t="str">
        <f aca="false">MID(A1029,4,3)</f>
        <v>TAV</v>
      </c>
      <c r="D1029" s="0" t="str">
        <f aca="false">CONCATENATE(LEFT(A1029,15),2)</f>
        <v>PX-TAV-4G-4120-2</v>
      </c>
      <c r="E1029" s="0" t="str">
        <f aca="false">MID(A1029,16,3)</f>
        <v>025</v>
      </c>
      <c r="F1029" s="0" t="s">
        <v>782</v>
      </c>
      <c r="G1029" s="0" t="str">
        <f aca="false">MID(D1029,8,1)</f>
        <v>4</v>
      </c>
      <c r="H1029" s="0" t="n">
        <v>1</v>
      </c>
    </row>
    <row r="1030" customFormat="false" ht="15" hidden="false" customHeight="false" outlineLevel="0" collapsed="false">
      <c r="A1030" s="0" t="s">
        <v>1275</v>
      </c>
      <c r="B1030" s="0" t="n">
        <v>5</v>
      </c>
      <c r="C1030" s="0" t="str">
        <f aca="false">MID(A1030,4,3)</f>
        <v>TAV</v>
      </c>
      <c r="D1030" s="0" t="str">
        <f aca="false">CONCATENATE(LEFT(A1030,15),2)</f>
        <v>PX-TAV-4G-4120-2</v>
      </c>
      <c r="E1030" s="0" t="str">
        <f aca="false">MID(A1030,16,3)</f>
        <v>050</v>
      </c>
      <c r="F1030" s="0" t="s">
        <v>782</v>
      </c>
      <c r="G1030" s="0" t="str">
        <f aca="false">MID(D1030,8,1)</f>
        <v>4</v>
      </c>
      <c r="H1030" s="0" t="n">
        <v>1</v>
      </c>
    </row>
    <row r="1031" customFormat="false" ht="15" hidden="false" customHeight="false" outlineLevel="0" collapsed="false">
      <c r="A1031" s="0" t="s">
        <v>1276</v>
      </c>
      <c r="B1031" s="0" t="n">
        <v>5</v>
      </c>
      <c r="C1031" s="0" t="str">
        <f aca="false">MID(A1031,4,3)</f>
        <v>TAV</v>
      </c>
      <c r="D1031" s="0" t="str">
        <f aca="false">CONCATENATE(LEFT(A1031,15),2)</f>
        <v>PX-TAV-4G-4120-2</v>
      </c>
      <c r="E1031" s="0" t="str">
        <f aca="false">MID(A1031,16,3)</f>
        <v>100</v>
      </c>
      <c r="F1031" s="0" t="s">
        <v>782</v>
      </c>
      <c r="G1031" s="0" t="str">
        <f aca="false">MID(D1031,8,1)</f>
        <v>4</v>
      </c>
      <c r="H1031" s="0" t="n">
        <v>1</v>
      </c>
    </row>
    <row r="1032" customFormat="false" ht="15" hidden="false" customHeight="false" outlineLevel="0" collapsed="false">
      <c r="A1032" s="0" t="s">
        <v>1277</v>
      </c>
      <c r="B1032" s="0" t="n">
        <v>5</v>
      </c>
      <c r="C1032" s="0" t="str">
        <f aca="false">MID(A1032,4,3)</f>
        <v>UAZ</v>
      </c>
      <c r="D1032" s="0" t="str">
        <f aca="false">LEFT(A1032,18)</f>
        <v>PX-UAZ-4A-5658-000</v>
      </c>
      <c r="E1032" s="0" t="str">
        <f aca="false">RIGHT(A1032,1)</f>
        <v>A</v>
      </c>
      <c r="F1032" s="0" t="s">
        <v>782</v>
      </c>
      <c r="G1032" s="0" t="str">
        <f aca="false">MID(D1032,8,1)</f>
        <v>4</v>
      </c>
      <c r="H1032" s="0" t="n">
        <v>1</v>
      </c>
    </row>
    <row r="1033" customFormat="false" ht="15" hidden="false" customHeight="false" outlineLevel="0" collapsed="false">
      <c r="A1033" s="0" t="s">
        <v>1278</v>
      </c>
      <c r="B1033" s="0" t="n">
        <v>5</v>
      </c>
      <c r="C1033" s="0" t="str">
        <f aca="false">MID(A1033,4,3)</f>
        <v>UAZ</v>
      </c>
      <c r="D1033" s="0" t="str">
        <f aca="false">LEFT(A1033,18)</f>
        <v>PX-UAZ-4A-5658-000</v>
      </c>
      <c r="E1033" s="0" t="str">
        <f aca="false">RIGHT(A1033,1)</f>
        <v>B</v>
      </c>
      <c r="F1033" s="0" t="s">
        <v>782</v>
      </c>
      <c r="G1033" s="0" t="str">
        <f aca="false">MID(D1033,8,1)</f>
        <v>4</v>
      </c>
      <c r="H1033" s="0" t="n">
        <v>1</v>
      </c>
    </row>
    <row r="1034" customFormat="false" ht="15" hidden="false" customHeight="false" outlineLevel="0" collapsed="false">
      <c r="A1034" s="0" t="s">
        <v>1279</v>
      </c>
      <c r="B1034" s="0" t="n">
        <v>5</v>
      </c>
      <c r="C1034" s="0" t="str">
        <f aca="false">MID(A1034,4,3)</f>
        <v>UAZ</v>
      </c>
      <c r="D1034" s="0" t="str">
        <f aca="false">LEFT(A1034,18)</f>
        <v>PX-UAZ-4A-5658-000</v>
      </c>
      <c r="E1034" s="0" t="str">
        <f aca="false">RIGHT(A1034,1)</f>
        <v>C</v>
      </c>
      <c r="F1034" s="0" t="s">
        <v>782</v>
      </c>
      <c r="G1034" s="0" t="str">
        <f aca="false">MID(D1034,8,1)</f>
        <v>4</v>
      </c>
      <c r="H1034" s="0" t="n">
        <v>1</v>
      </c>
    </row>
    <row r="1035" customFormat="false" ht="15" hidden="false" customHeight="false" outlineLevel="0" collapsed="false">
      <c r="A1035" s="0" t="s">
        <v>1280</v>
      </c>
      <c r="B1035" s="0" t="n">
        <v>5</v>
      </c>
      <c r="C1035" s="0" t="str">
        <f aca="false">MID(A1035,4,3)</f>
        <v>UAZ</v>
      </c>
      <c r="D1035" s="0" t="str">
        <f aca="false">LEFT(A1035,18)</f>
        <v>PX-UAZ-4A-5658-000</v>
      </c>
      <c r="E1035" s="0" t="str">
        <f aca="false">RIGHT(A1035,1)</f>
        <v>D</v>
      </c>
      <c r="F1035" s="0" t="s">
        <v>782</v>
      </c>
      <c r="G1035" s="0" t="str">
        <f aca="false">MID(D1035,8,1)</f>
        <v>4</v>
      </c>
      <c r="H1035" s="0" t="n">
        <v>1</v>
      </c>
    </row>
    <row r="1036" customFormat="false" ht="15" hidden="false" customHeight="false" outlineLevel="0" collapsed="false">
      <c r="A1036" s="0" t="s">
        <v>1281</v>
      </c>
      <c r="B1036" s="0" t="n">
        <v>5</v>
      </c>
      <c r="C1036" s="0" t="str">
        <f aca="false">MID(A1036,4,3)</f>
        <v>UAZ</v>
      </c>
      <c r="D1036" s="0" t="str">
        <f aca="false">LEFT(A1036,18)</f>
        <v>PX-UAZ-4A-5658-000</v>
      </c>
      <c r="E1036" s="0" t="str">
        <f aca="false">RIGHT(A1036,1)</f>
        <v>E</v>
      </c>
      <c r="F1036" s="0" t="s">
        <v>782</v>
      </c>
      <c r="G1036" s="0" t="str">
        <f aca="false">MID(D1036,8,1)</f>
        <v>4</v>
      </c>
      <c r="H1036" s="0" t="n">
        <v>1</v>
      </c>
    </row>
    <row r="1037" customFormat="false" ht="15" hidden="false" customHeight="false" outlineLevel="0" collapsed="false">
      <c r="A1037" s="0" t="s">
        <v>1282</v>
      </c>
      <c r="B1037" s="0" t="n">
        <v>5</v>
      </c>
      <c r="C1037" s="0" t="str">
        <f aca="false">MID(A1037,4,3)</f>
        <v>UAZ</v>
      </c>
      <c r="D1037" s="0" t="str">
        <f aca="false">LEFT(A1037,18)</f>
        <v>PX-UAZ-4A-5658-050</v>
      </c>
      <c r="E1037" s="0" t="str">
        <f aca="false">RIGHT(A1037,1)</f>
        <v>A</v>
      </c>
      <c r="F1037" s="0" t="s">
        <v>782</v>
      </c>
      <c r="G1037" s="0" t="str">
        <f aca="false">MID(D1037,8,1)</f>
        <v>4</v>
      </c>
      <c r="H1037" s="0" t="n">
        <v>1</v>
      </c>
    </row>
    <row r="1038" customFormat="false" ht="15" hidden="false" customHeight="false" outlineLevel="0" collapsed="false">
      <c r="A1038" s="0" t="s">
        <v>1283</v>
      </c>
      <c r="B1038" s="0" t="n">
        <v>5</v>
      </c>
      <c r="C1038" s="0" t="str">
        <f aca="false">MID(A1038,4,3)</f>
        <v>UAZ</v>
      </c>
      <c r="D1038" s="0" t="str">
        <f aca="false">LEFT(A1038,18)</f>
        <v>PX-UAZ-4A-5658-050</v>
      </c>
      <c r="E1038" s="0" t="str">
        <f aca="false">RIGHT(A1038,1)</f>
        <v>B</v>
      </c>
      <c r="F1038" s="0" t="s">
        <v>782</v>
      </c>
      <c r="G1038" s="0" t="str">
        <f aca="false">MID(D1038,8,1)</f>
        <v>4</v>
      </c>
      <c r="H1038" s="0" t="n">
        <v>1</v>
      </c>
    </row>
    <row r="1039" customFormat="false" ht="15" hidden="false" customHeight="false" outlineLevel="0" collapsed="false">
      <c r="A1039" s="0" t="s">
        <v>1284</v>
      </c>
      <c r="B1039" s="0" t="n">
        <v>5</v>
      </c>
      <c r="C1039" s="0" t="str">
        <f aca="false">MID(A1039,4,3)</f>
        <v>UAZ</v>
      </c>
      <c r="D1039" s="0" t="str">
        <f aca="false">LEFT(A1039,18)</f>
        <v>PX-UAZ-4A-5658-050</v>
      </c>
      <c r="E1039" s="0" t="str">
        <f aca="false">RIGHT(A1039,1)</f>
        <v>C</v>
      </c>
      <c r="F1039" s="0" t="s">
        <v>782</v>
      </c>
      <c r="G1039" s="0" t="str">
        <f aca="false">MID(D1039,8,1)</f>
        <v>4</v>
      </c>
      <c r="H1039" s="0" t="n">
        <v>1</v>
      </c>
    </row>
    <row r="1040" customFormat="false" ht="15" hidden="false" customHeight="false" outlineLevel="0" collapsed="false">
      <c r="A1040" s="0" t="s">
        <v>1285</v>
      </c>
      <c r="B1040" s="0" t="n">
        <v>5</v>
      </c>
      <c r="C1040" s="0" t="str">
        <f aca="false">MID(A1040,4,3)</f>
        <v>UAZ</v>
      </c>
      <c r="D1040" s="0" t="str">
        <f aca="false">LEFT(A1040,18)</f>
        <v>PX-UAZ-4A-5658-050</v>
      </c>
      <c r="E1040" s="0" t="str">
        <f aca="false">RIGHT(A1040,1)</f>
        <v>D</v>
      </c>
      <c r="F1040" s="0" t="s">
        <v>782</v>
      </c>
      <c r="G1040" s="0" t="str">
        <f aca="false">MID(D1040,8,1)</f>
        <v>4</v>
      </c>
      <c r="H1040" s="0" t="n">
        <v>1</v>
      </c>
    </row>
    <row r="1041" customFormat="false" ht="15" hidden="false" customHeight="false" outlineLevel="0" collapsed="false">
      <c r="A1041" s="0" t="s">
        <v>1286</v>
      </c>
      <c r="B1041" s="0" t="n">
        <v>5</v>
      </c>
      <c r="C1041" s="0" t="str">
        <f aca="false">MID(A1041,4,3)</f>
        <v>UAZ</v>
      </c>
      <c r="D1041" s="0" t="str">
        <f aca="false">LEFT(A1041,18)</f>
        <v>PX-UAZ-4A-5658-050</v>
      </c>
      <c r="E1041" s="0" t="str">
        <f aca="false">RIGHT(A1041,1)</f>
        <v>E</v>
      </c>
      <c r="F1041" s="0" t="s">
        <v>782</v>
      </c>
      <c r="G1041" s="0" t="str">
        <f aca="false">MID(D1041,8,1)</f>
        <v>4</v>
      </c>
      <c r="H1041" s="0" t="n">
        <v>1</v>
      </c>
    </row>
    <row r="1042" customFormat="false" ht="15" hidden="false" customHeight="false" outlineLevel="0" collapsed="false">
      <c r="A1042" s="0" t="s">
        <v>1287</v>
      </c>
      <c r="B1042" s="0" t="n">
        <v>5</v>
      </c>
      <c r="C1042" s="0" t="str">
        <f aca="false">MID(A1042,4,3)</f>
        <v>UAZ</v>
      </c>
      <c r="D1042" s="0" t="str">
        <f aca="false">LEFT(A1042,18)</f>
        <v>PX-UAZ-4A-5658-100</v>
      </c>
      <c r="E1042" s="0" t="str">
        <f aca="false">RIGHT(A1042,1)</f>
        <v>A</v>
      </c>
      <c r="F1042" s="0" t="s">
        <v>782</v>
      </c>
      <c r="G1042" s="0" t="str">
        <f aca="false">MID(D1042,8,1)</f>
        <v>4</v>
      </c>
      <c r="H1042" s="0" t="n">
        <v>1</v>
      </c>
    </row>
    <row r="1043" customFormat="false" ht="15" hidden="false" customHeight="false" outlineLevel="0" collapsed="false">
      <c r="A1043" s="0" t="s">
        <v>1288</v>
      </c>
      <c r="B1043" s="0" t="n">
        <v>5</v>
      </c>
      <c r="C1043" s="0" t="str">
        <f aca="false">MID(A1043,4,3)</f>
        <v>UAZ</v>
      </c>
      <c r="D1043" s="0" t="str">
        <f aca="false">LEFT(A1043,18)</f>
        <v>PX-UAZ-4A-5658-100</v>
      </c>
      <c r="E1043" s="0" t="str">
        <f aca="false">RIGHT(A1043,1)</f>
        <v>B</v>
      </c>
      <c r="F1043" s="0" t="s">
        <v>782</v>
      </c>
      <c r="G1043" s="0" t="str">
        <f aca="false">MID(D1043,8,1)</f>
        <v>4</v>
      </c>
      <c r="H1043" s="0" t="n">
        <v>1</v>
      </c>
    </row>
    <row r="1044" customFormat="false" ht="15" hidden="false" customHeight="false" outlineLevel="0" collapsed="false">
      <c r="A1044" s="0" t="s">
        <v>1289</v>
      </c>
      <c r="B1044" s="0" t="n">
        <v>5</v>
      </c>
      <c r="C1044" s="0" t="str">
        <f aca="false">MID(A1044,4,3)</f>
        <v>UAZ</v>
      </c>
      <c r="D1044" s="0" t="str">
        <f aca="false">LEFT(A1044,18)</f>
        <v>PX-UAZ-4A-5658-100</v>
      </c>
      <c r="E1044" s="0" t="str">
        <f aca="false">RIGHT(A1044,1)</f>
        <v>C</v>
      </c>
      <c r="F1044" s="0" t="s">
        <v>782</v>
      </c>
      <c r="G1044" s="0" t="str">
        <f aca="false">MID(D1044,8,1)</f>
        <v>4</v>
      </c>
      <c r="H1044" s="0" t="n">
        <v>1</v>
      </c>
    </row>
    <row r="1045" customFormat="false" ht="15" hidden="false" customHeight="false" outlineLevel="0" collapsed="false">
      <c r="A1045" s="0" t="s">
        <v>1290</v>
      </c>
      <c r="B1045" s="0" t="n">
        <v>5</v>
      </c>
      <c r="C1045" s="0" t="str">
        <f aca="false">MID(A1045,4,3)</f>
        <v>UAZ</v>
      </c>
      <c r="D1045" s="0" t="str">
        <f aca="false">LEFT(A1045,18)</f>
        <v>PX-UAZ-4A-5658-100</v>
      </c>
      <c r="E1045" s="0" t="str">
        <f aca="false">RIGHT(A1045,1)</f>
        <v>D</v>
      </c>
      <c r="F1045" s="0" t="s">
        <v>782</v>
      </c>
      <c r="G1045" s="0" t="str">
        <f aca="false">MID(D1045,8,1)</f>
        <v>4</v>
      </c>
      <c r="H1045" s="0" t="n">
        <v>1</v>
      </c>
    </row>
    <row r="1046" customFormat="false" ht="15" hidden="false" customHeight="false" outlineLevel="0" collapsed="false">
      <c r="A1046" s="0" t="s">
        <v>1291</v>
      </c>
      <c r="B1046" s="0" t="n">
        <v>5</v>
      </c>
      <c r="C1046" s="0" t="str">
        <f aca="false">MID(A1046,4,3)</f>
        <v>UAZ</v>
      </c>
      <c r="D1046" s="0" t="str">
        <f aca="false">LEFT(A1046,18)</f>
        <v>PX-UAZ-4A-5658-100</v>
      </c>
      <c r="E1046" s="0" t="str">
        <f aca="false">RIGHT(A1046,1)</f>
        <v>E</v>
      </c>
      <c r="F1046" s="0" t="s">
        <v>782</v>
      </c>
      <c r="G1046" s="0" t="str">
        <f aca="false">MID(D1046,8,1)</f>
        <v>4</v>
      </c>
      <c r="H1046" s="0" t="n">
        <v>1</v>
      </c>
    </row>
    <row r="1047" customFormat="false" ht="15" hidden="false" customHeight="false" outlineLevel="0" collapsed="false">
      <c r="A1047" s="0" t="s">
        <v>1292</v>
      </c>
      <c r="B1047" s="0" t="n">
        <v>5</v>
      </c>
      <c r="C1047" s="0" t="str">
        <f aca="false">MID(A1047,4,3)</f>
        <v>UAZ</v>
      </c>
      <c r="D1047" s="0" t="str">
        <f aca="false">A1047</f>
        <v>PX-UAZ-4A-5660-000</v>
      </c>
      <c r="E1047" s="0" t="str">
        <f aca="false">RIGHT(A1047,3)</f>
        <v>000</v>
      </c>
      <c r="F1047" s="0" t="s">
        <v>782</v>
      </c>
      <c r="G1047" s="0" t="str">
        <f aca="false">MID(D1047,8,1)</f>
        <v>4</v>
      </c>
      <c r="H1047" s="0" t="n">
        <v>1</v>
      </c>
    </row>
    <row r="1048" customFormat="false" ht="15" hidden="false" customHeight="false" outlineLevel="0" collapsed="false">
      <c r="A1048" s="0" t="s">
        <v>1293</v>
      </c>
      <c r="B1048" s="0" t="n">
        <v>5</v>
      </c>
      <c r="C1048" s="0" t="str">
        <f aca="false">MID(A1048,4,3)</f>
        <v>UAZ</v>
      </c>
      <c r="D1048" s="0" t="str">
        <f aca="false">LEFT(A1048,18)</f>
        <v>PX-UAZ-4A-5660-000</v>
      </c>
      <c r="E1048" s="0" t="str">
        <f aca="false">RIGHT(A1048,1)</f>
        <v>A</v>
      </c>
      <c r="F1048" s="0" t="s">
        <v>782</v>
      </c>
      <c r="G1048" s="0" t="str">
        <f aca="false">MID(D1048,8,1)</f>
        <v>4</v>
      </c>
      <c r="H1048" s="0" t="n">
        <v>1</v>
      </c>
    </row>
    <row r="1049" customFormat="false" ht="15" hidden="false" customHeight="false" outlineLevel="0" collapsed="false">
      <c r="A1049" s="0" t="s">
        <v>1294</v>
      </c>
      <c r="B1049" s="0" t="n">
        <v>5</v>
      </c>
      <c r="C1049" s="0" t="str">
        <f aca="false">MID(A1049,4,3)</f>
        <v>UAZ</v>
      </c>
      <c r="D1049" s="0" t="str">
        <f aca="false">LEFT(A1049,18)</f>
        <v>PX-UAZ-4A-5660-000</v>
      </c>
      <c r="E1049" s="0" t="str">
        <f aca="false">RIGHT(A1049,1)</f>
        <v>B</v>
      </c>
      <c r="F1049" s="0" t="s">
        <v>782</v>
      </c>
      <c r="G1049" s="0" t="str">
        <f aca="false">MID(D1049,8,1)</f>
        <v>4</v>
      </c>
      <c r="H1049" s="0" t="n">
        <v>1</v>
      </c>
    </row>
    <row r="1050" customFormat="false" ht="15" hidden="false" customHeight="false" outlineLevel="0" collapsed="false">
      <c r="A1050" s="0" t="s">
        <v>1295</v>
      </c>
      <c r="B1050" s="0" t="n">
        <v>5</v>
      </c>
      <c r="C1050" s="0" t="str">
        <f aca="false">MID(A1050,4,3)</f>
        <v>UAZ</v>
      </c>
      <c r="D1050" s="0" t="str">
        <f aca="false">LEFT(A1050,18)</f>
        <v>PX-UAZ-4A-5660-000</v>
      </c>
      <c r="E1050" s="0" t="str">
        <f aca="false">RIGHT(A1050,1)</f>
        <v>C</v>
      </c>
      <c r="F1050" s="0" t="s">
        <v>782</v>
      </c>
      <c r="G1050" s="0" t="str">
        <f aca="false">MID(D1050,8,1)</f>
        <v>4</v>
      </c>
      <c r="H1050" s="0" t="n">
        <v>1</v>
      </c>
    </row>
    <row r="1051" customFormat="false" ht="15" hidden="false" customHeight="false" outlineLevel="0" collapsed="false">
      <c r="A1051" s="0" t="s">
        <v>1296</v>
      </c>
      <c r="B1051" s="0" t="n">
        <v>5</v>
      </c>
      <c r="C1051" s="0" t="str">
        <f aca="false">MID(A1051,4,3)</f>
        <v>UAZ</v>
      </c>
      <c r="D1051" s="0" t="str">
        <f aca="false">LEFT(A1051,18)</f>
        <v>PX-UAZ-4A-5660-000</v>
      </c>
      <c r="E1051" s="0" t="str">
        <f aca="false">RIGHT(A1051,1)</f>
        <v>D</v>
      </c>
      <c r="F1051" s="0" t="s">
        <v>782</v>
      </c>
      <c r="G1051" s="0" t="str">
        <f aca="false">MID(D1051,8,1)</f>
        <v>4</v>
      </c>
      <c r="H1051" s="0" t="n">
        <v>1</v>
      </c>
    </row>
    <row r="1052" customFormat="false" ht="15" hidden="false" customHeight="false" outlineLevel="0" collapsed="false">
      <c r="A1052" s="0" t="s">
        <v>1297</v>
      </c>
      <c r="B1052" s="0" t="n">
        <v>5</v>
      </c>
      <c r="C1052" s="0" t="str">
        <f aca="false">MID(A1052,4,3)</f>
        <v>UAZ</v>
      </c>
      <c r="D1052" s="0" t="str">
        <f aca="false">LEFT(A1052,18)</f>
        <v>PX-UAZ-4A-5660-000</v>
      </c>
      <c r="E1052" s="0" t="str">
        <f aca="false">RIGHT(A1052,1)</f>
        <v>E</v>
      </c>
      <c r="F1052" s="0" t="s">
        <v>782</v>
      </c>
      <c r="G1052" s="0" t="str">
        <f aca="false">MID(D1052,8,1)</f>
        <v>4</v>
      </c>
      <c r="H1052" s="0" t="n">
        <v>1</v>
      </c>
    </row>
    <row r="1053" customFormat="false" ht="15" hidden="false" customHeight="false" outlineLevel="0" collapsed="false">
      <c r="A1053" s="0" t="s">
        <v>1298</v>
      </c>
      <c r="B1053" s="0" t="n">
        <v>5</v>
      </c>
      <c r="C1053" s="0" t="str">
        <f aca="false">MID(A1053,4,3)</f>
        <v>UAZ</v>
      </c>
      <c r="D1053" s="0" t="str">
        <f aca="false">A1053</f>
        <v>PX-UAZ-4A-5660-050</v>
      </c>
      <c r="E1053" s="0" t="str">
        <f aca="false">RIGHT(A1053,3)</f>
        <v>050</v>
      </c>
      <c r="F1053" s="0" t="s">
        <v>782</v>
      </c>
      <c r="G1053" s="0" t="str">
        <f aca="false">MID(D1053,8,1)</f>
        <v>4</v>
      </c>
      <c r="H1053" s="0" t="n">
        <v>1</v>
      </c>
    </row>
    <row r="1054" customFormat="false" ht="15" hidden="false" customHeight="false" outlineLevel="0" collapsed="false">
      <c r="A1054" s="0" t="s">
        <v>1299</v>
      </c>
      <c r="B1054" s="0" t="n">
        <v>5</v>
      </c>
      <c r="C1054" s="0" t="str">
        <f aca="false">MID(A1054,4,3)</f>
        <v>UAZ</v>
      </c>
      <c r="D1054" s="0" t="str">
        <f aca="false">LEFT(A1054,18)</f>
        <v>PX-UAZ-4A-5660-050</v>
      </c>
      <c r="E1054" s="0" t="str">
        <f aca="false">RIGHT(A1054,1)</f>
        <v>A</v>
      </c>
      <c r="F1054" s="0" t="s">
        <v>782</v>
      </c>
      <c r="G1054" s="0" t="str">
        <f aca="false">MID(D1054,8,1)</f>
        <v>4</v>
      </c>
      <c r="H1054" s="0" t="n">
        <v>1</v>
      </c>
    </row>
    <row r="1055" customFormat="false" ht="15" hidden="false" customHeight="false" outlineLevel="0" collapsed="false">
      <c r="A1055" s="0" t="s">
        <v>1300</v>
      </c>
      <c r="B1055" s="0" t="n">
        <v>5</v>
      </c>
      <c r="C1055" s="0" t="str">
        <f aca="false">MID(A1055,4,3)</f>
        <v>UAZ</v>
      </c>
      <c r="D1055" s="0" t="str">
        <f aca="false">LEFT(A1055,18)</f>
        <v>PX-UAZ-4A-5660-050</v>
      </c>
      <c r="E1055" s="0" t="str">
        <f aca="false">RIGHT(A1055,1)</f>
        <v>B</v>
      </c>
      <c r="F1055" s="0" t="s">
        <v>782</v>
      </c>
      <c r="G1055" s="0" t="str">
        <f aca="false">MID(D1055,8,1)</f>
        <v>4</v>
      </c>
      <c r="H1055" s="0" t="n">
        <v>1</v>
      </c>
    </row>
    <row r="1056" customFormat="false" ht="15" hidden="false" customHeight="false" outlineLevel="0" collapsed="false">
      <c r="A1056" s="0" t="s">
        <v>1301</v>
      </c>
      <c r="B1056" s="0" t="n">
        <v>5</v>
      </c>
      <c r="C1056" s="0" t="str">
        <f aca="false">MID(A1056,4,3)</f>
        <v>UAZ</v>
      </c>
      <c r="D1056" s="0" t="str">
        <f aca="false">LEFT(A1056,18)</f>
        <v>PX-UAZ-4A-5660-050</v>
      </c>
      <c r="E1056" s="0" t="str">
        <f aca="false">RIGHT(A1056,1)</f>
        <v>C</v>
      </c>
      <c r="F1056" s="0" t="s">
        <v>782</v>
      </c>
      <c r="G1056" s="0" t="str">
        <f aca="false">MID(D1056,8,1)</f>
        <v>4</v>
      </c>
      <c r="H1056" s="0" t="n">
        <v>1</v>
      </c>
    </row>
    <row r="1057" customFormat="false" ht="15" hidden="false" customHeight="false" outlineLevel="0" collapsed="false">
      <c r="A1057" s="0" t="s">
        <v>1302</v>
      </c>
      <c r="B1057" s="0" t="n">
        <v>5</v>
      </c>
      <c r="C1057" s="0" t="str">
        <f aca="false">MID(A1057,4,3)</f>
        <v>UAZ</v>
      </c>
      <c r="D1057" s="0" t="str">
        <f aca="false">LEFT(A1057,18)</f>
        <v>PX-UAZ-4A-5660-050</v>
      </c>
      <c r="E1057" s="0" t="str">
        <f aca="false">RIGHT(A1057,1)</f>
        <v>D</v>
      </c>
      <c r="F1057" s="0" t="s">
        <v>782</v>
      </c>
      <c r="G1057" s="0" t="str">
        <f aca="false">MID(D1057,8,1)</f>
        <v>4</v>
      </c>
      <c r="H1057" s="0" t="n">
        <v>1</v>
      </c>
    </row>
    <row r="1058" customFormat="false" ht="15" hidden="false" customHeight="false" outlineLevel="0" collapsed="false">
      <c r="A1058" s="0" t="s">
        <v>1303</v>
      </c>
      <c r="B1058" s="0" t="n">
        <v>5</v>
      </c>
      <c r="C1058" s="0" t="str">
        <f aca="false">MID(A1058,4,3)</f>
        <v>UAZ</v>
      </c>
      <c r="D1058" s="0" t="str">
        <f aca="false">LEFT(A1058,18)</f>
        <v>PX-UAZ-4A-5660-050</v>
      </c>
      <c r="E1058" s="0" t="str">
        <f aca="false">RIGHT(A1058,1)</f>
        <v>E</v>
      </c>
      <c r="F1058" s="0" t="s">
        <v>782</v>
      </c>
      <c r="G1058" s="0" t="str">
        <f aca="false">MID(D1058,8,1)</f>
        <v>4</v>
      </c>
      <c r="H1058" s="0" t="n">
        <v>1</v>
      </c>
    </row>
    <row r="1059" customFormat="false" ht="15" hidden="false" customHeight="false" outlineLevel="0" collapsed="false">
      <c r="A1059" s="1" t="s">
        <v>1304</v>
      </c>
      <c r="B1059" s="0" t="n">
        <v>5</v>
      </c>
      <c r="C1059" s="0" t="str">
        <f aca="false">MID(A1059,4,3)</f>
        <v>UAZ</v>
      </c>
      <c r="D1059" s="0" t="str">
        <f aca="false">A1059</f>
        <v>PX-UAZ-4A-5660-100</v>
      </c>
      <c r="E1059" s="1" t="str">
        <f aca="false">RIGHT(A1059,3)</f>
        <v>100</v>
      </c>
      <c r="F1059" s="0" t="s">
        <v>782</v>
      </c>
      <c r="G1059" s="0" t="str">
        <f aca="false">MID(D1059,8,1)</f>
        <v>4</v>
      </c>
      <c r="H1059" s="0" t="n">
        <v>1</v>
      </c>
    </row>
    <row r="1060" customFormat="false" ht="15" hidden="false" customHeight="false" outlineLevel="0" collapsed="false">
      <c r="A1060" s="0" t="s">
        <v>1305</v>
      </c>
      <c r="B1060" s="0" t="n">
        <v>5</v>
      </c>
      <c r="C1060" s="0" t="str">
        <f aca="false">MID(A1060,4,3)</f>
        <v>UAZ</v>
      </c>
      <c r="D1060" s="0" t="str">
        <f aca="false">LEFT(A1060,18)</f>
        <v>PX-UAZ-4A-5660-100</v>
      </c>
      <c r="E1060" s="0" t="str">
        <f aca="false">RIGHT(A1060,1)</f>
        <v>A</v>
      </c>
      <c r="F1060" s="0" t="s">
        <v>782</v>
      </c>
      <c r="G1060" s="0" t="str">
        <f aca="false">MID(D1060,8,1)</f>
        <v>4</v>
      </c>
      <c r="H1060" s="0" t="n">
        <v>1</v>
      </c>
    </row>
    <row r="1061" customFormat="false" ht="15" hidden="false" customHeight="false" outlineLevel="0" collapsed="false">
      <c r="A1061" s="0" t="s">
        <v>1306</v>
      </c>
      <c r="B1061" s="0" t="n">
        <v>5</v>
      </c>
      <c r="C1061" s="0" t="str">
        <f aca="false">MID(A1061,4,3)</f>
        <v>UAZ</v>
      </c>
      <c r="D1061" s="0" t="str">
        <f aca="false">LEFT(A1061,18)</f>
        <v>PX-UAZ-4A-5660-100</v>
      </c>
      <c r="E1061" s="0" t="str">
        <f aca="false">RIGHT(A1061,1)</f>
        <v>B</v>
      </c>
      <c r="F1061" s="0" t="s">
        <v>782</v>
      </c>
      <c r="G1061" s="0" t="str">
        <f aca="false">MID(D1061,8,1)</f>
        <v>4</v>
      </c>
      <c r="H1061" s="0" t="n">
        <v>1</v>
      </c>
    </row>
    <row r="1062" customFormat="false" ht="15" hidden="false" customHeight="false" outlineLevel="0" collapsed="false">
      <c r="A1062" s="0" t="s">
        <v>1307</v>
      </c>
      <c r="B1062" s="0" t="n">
        <v>5</v>
      </c>
      <c r="C1062" s="0" t="str">
        <f aca="false">MID(A1062,4,3)</f>
        <v>UAZ</v>
      </c>
      <c r="D1062" s="0" t="str">
        <f aca="false">LEFT(A1062,18)</f>
        <v>PX-UAZ-4A-5660-100</v>
      </c>
      <c r="E1062" s="0" t="str">
        <f aca="false">RIGHT(A1062,1)</f>
        <v>C</v>
      </c>
      <c r="F1062" s="0" t="s">
        <v>782</v>
      </c>
      <c r="G1062" s="0" t="str">
        <f aca="false">MID(D1062,8,1)</f>
        <v>4</v>
      </c>
      <c r="H1062" s="0" t="n">
        <v>1</v>
      </c>
    </row>
    <row r="1063" customFormat="false" ht="15" hidden="false" customHeight="false" outlineLevel="0" collapsed="false">
      <c r="A1063" s="0" t="s">
        <v>1308</v>
      </c>
      <c r="B1063" s="0" t="n">
        <v>5</v>
      </c>
      <c r="C1063" s="0" t="str">
        <f aca="false">MID(A1063,4,3)</f>
        <v>WOL</v>
      </c>
      <c r="D1063" s="0" t="str">
        <f aca="false">A1063</f>
        <v>PX-WOL-4A-5650-000</v>
      </c>
      <c r="E1063" s="0" t="str">
        <f aca="false">RIGHT(A1063,3)</f>
        <v>000</v>
      </c>
      <c r="F1063" s="0" t="s">
        <v>782</v>
      </c>
      <c r="G1063" s="0" t="str">
        <f aca="false">MID(D1063,8,1)</f>
        <v>4</v>
      </c>
      <c r="H1063" s="0" t="n">
        <v>1</v>
      </c>
    </row>
    <row r="1064" customFormat="false" ht="15" hidden="false" customHeight="false" outlineLevel="0" collapsed="false">
      <c r="A1064" s="0" t="s">
        <v>1309</v>
      </c>
      <c r="B1064" s="0" t="n">
        <v>5</v>
      </c>
      <c r="C1064" s="0" t="str">
        <f aca="false">MID(A1064,4,3)</f>
        <v>WOL</v>
      </c>
      <c r="D1064" s="0" t="str">
        <f aca="false">LEFT(A1064,18)</f>
        <v>PX-WOL-4A-5650-000</v>
      </c>
      <c r="E1064" s="0" t="str">
        <f aca="false">RIGHT(A1064,1)</f>
        <v>A</v>
      </c>
      <c r="F1064" s="0" t="s">
        <v>782</v>
      </c>
      <c r="G1064" s="0" t="str">
        <f aca="false">MID(D1064,8,1)</f>
        <v>4</v>
      </c>
      <c r="H1064" s="0" t="n">
        <v>1</v>
      </c>
    </row>
    <row r="1065" customFormat="false" ht="15" hidden="false" customHeight="false" outlineLevel="0" collapsed="false">
      <c r="A1065" s="0" t="s">
        <v>1310</v>
      </c>
      <c r="B1065" s="0" t="n">
        <v>5</v>
      </c>
      <c r="C1065" s="0" t="str">
        <f aca="false">MID(A1065,4,3)</f>
        <v>WOL</v>
      </c>
      <c r="D1065" s="0" t="str">
        <f aca="false">LEFT(A1065,18)</f>
        <v>PX-WOL-4A-5650-000</v>
      </c>
      <c r="E1065" s="0" t="str">
        <f aca="false">RIGHT(A1065,1)</f>
        <v>B</v>
      </c>
      <c r="F1065" s="0" t="s">
        <v>782</v>
      </c>
      <c r="G1065" s="0" t="str">
        <f aca="false">MID(D1065,8,1)</f>
        <v>4</v>
      </c>
      <c r="H1065" s="0" t="n">
        <v>1</v>
      </c>
    </row>
    <row r="1066" customFormat="false" ht="15" hidden="false" customHeight="false" outlineLevel="0" collapsed="false">
      <c r="A1066" s="0" t="s">
        <v>1311</v>
      </c>
      <c r="B1066" s="0" t="n">
        <v>5</v>
      </c>
      <c r="C1066" s="0" t="str">
        <f aca="false">MID(A1066,4,3)</f>
        <v>WOL</v>
      </c>
      <c r="D1066" s="0" t="str">
        <f aca="false">LEFT(A1066,18)</f>
        <v>PX-WOL-4A-5650-000</v>
      </c>
      <c r="E1066" s="0" t="str">
        <f aca="false">RIGHT(A1066,1)</f>
        <v>C</v>
      </c>
      <c r="F1066" s="0" t="s">
        <v>782</v>
      </c>
      <c r="G1066" s="0" t="str">
        <f aca="false">MID(D1066,8,1)</f>
        <v>4</v>
      </c>
      <c r="H1066" s="0" t="n">
        <v>1</v>
      </c>
    </row>
    <row r="1067" customFormat="false" ht="15" hidden="false" customHeight="false" outlineLevel="0" collapsed="false">
      <c r="A1067" s="0" t="s">
        <v>1312</v>
      </c>
      <c r="B1067" s="0" t="n">
        <v>5</v>
      </c>
      <c r="C1067" s="0" t="str">
        <f aca="false">MID(A1067,4,3)</f>
        <v>WOL</v>
      </c>
      <c r="D1067" s="0" t="str">
        <f aca="false">LEFT(A1067,18)</f>
        <v>PX-WOL-4A-5650-000</v>
      </c>
      <c r="E1067" s="0" t="str">
        <f aca="false">RIGHT(A1067,1)</f>
        <v>D</v>
      </c>
      <c r="F1067" s="0" t="s">
        <v>782</v>
      </c>
      <c r="G1067" s="0" t="str">
        <f aca="false">MID(D1067,8,1)</f>
        <v>4</v>
      </c>
      <c r="H1067" s="0" t="n">
        <v>1</v>
      </c>
    </row>
    <row r="1068" customFormat="false" ht="15" hidden="false" customHeight="false" outlineLevel="0" collapsed="false">
      <c r="A1068" s="0" t="s">
        <v>1313</v>
      </c>
      <c r="B1068" s="0" t="n">
        <v>5</v>
      </c>
      <c r="C1068" s="0" t="str">
        <f aca="false">MID(A1068,4,3)</f>
        <v>WOL</v>
      </c>
      <c r="D1068" s="0" t="str">
        <f aca="false">LEFT(A1068,18)</f>
        <v>PX-WOL-4A-5650-000</v>
      </c>
      <c r="E1068" s="0" t="str">
        <f aca="false">RIGHT(A1068,1)</f>
        <v>E</v>
      </c>
      <c r="F1068" s="0" t="s">
        <v>782</v>
      </c>
      <c r="G1068" s="0" t="str">
        <f aca="false">MID(D1068,8,1)</f>
        <v>4</v>
      </c>
      <c r="H1068" s="0" t="n">
        <v>1</v>
      </c>
    </row>
    <row r="1069" customFormat="false" ht="15" hidden="false" customHeight="false" outlineLevel="0" collapsed="false">
      <c r="A1069" s="0" t="s">
        <v>1314</v>
      </c>
      <c r="B1069" s="0" t="n">
        <v>5</v>
      </c>
      <c r="C1069" s="0" t="str">
        <f aca="false">MID(A1069,4,3)</f>
        <v>WOL</v>
      </c>
      <c r="D1069" s="0" t="str">
        <f aca="false">A1069</f>
        <v>PX-WOL-4A-5650-025</v>
      </c>
      <c r="E1069" s="0" t="str">
        <f aca="false">RIGHT(A1069,3)</f>
        <v>025</v>
      </c>
      <c r="F1069" s="0" t="s">
        <v>782</v>
      </c>
      <c r="G1069" s="0" t="str">
        <f aca="false">MID(D1069,8,1)</f>
        <v>4</v>
      </c>
      <c r="H1069" s="0" t="n">
        <v>1</v>
      </c>
    </row>
    <row r="1070" customFormat="false" ht="15" hidden="false" customHeight="false" outlineLevel="0" collapsed="false">
      <c r="A1070" s="0" t="s">
        <v>1315</v>
      </c>
      <c r="B1070" s="0" t="n">
        <v>5</v>
      </c>
      <c r="C1070" s="0" t="str">
        <f aca="false">MID(A1070,4,3)</f>
        <v>WOL</v>
      </c>
      <c r="D1070" s="0" t="str">
        <f aca="false">LEFT(A1070,18)</f>
        <v>PX-WOL-4A-5650-025</v>
      </c>
      <c r="E1070" s="0" t="str">
        <f aca="false">RIGHT(A1070,1)</f>
        <v>A</v>
      </c>
      <c r="F1070" s="0" t="s">
        <v>782</v>
      </c>
      <c r="G1070" s="0" t="str">
        <f aca="false">MID(D1070,8,1)</f>
        <v>4</v>
      </c>
      <c r="H1070" s="0" t="n">
        <v>1</v>
      </c>
    </row>
    <row r="1071" customFormat="false" ht="15" hidden="false" customHeight="false" outlineLevel="0" collapsed="false">
      <c r="A1071" s="0" t="s">
        <v>1316</v>
      </c>
      <c r="B1071" s="0" t="n">
        <v>5</v>
      </c>
      <c r="C1071" s="0" t="str">
        <f aca="false">MID(A1071,4,3)</f>
        <v>WOL</v>
      </c>
      <c r="D1071" s="0" t="str">
        <f aca="false">LEFT(A1071,18)</f>
        <v>PX-WOL-4A-5650-025</v>
      </c>
      <c r="E1071" s="0" t="str">
        <f aca="false">RIGHT(A1071,1)</f>
        <v>B</v>
      </c>
      <c r="F1071" s="0" t="s">
        <v>782</v>
      </c>
      <c r="G1071" s="0" t="str">
        <f aca="false">MID(D1071,8,1)</f>
        <v>4</v>
      </c>
      <c r="H1071" s="0" t="n">
        <v>1</v>
      </c>
    </row>
    <row r="1072" customFormat="false" ht="15" hidden="false" customHeight="false" outlineLevel="0" collapsed="false">
      <c r="A1072" s="0" t="s">
        <v>1317</v>
      </c>
      <c r="B1072" s="0" t="n">
        <v>5</v>
      </c>
      <c r="C1072" s="0" t="str">
        <f aca="false">MID(A1072,4,3)</f>
        <v>WOL</v>
      </c>
      <c r="D1072" s="0" t="str">
        <f aca="false">LEFT(A1072,18)</f>
        <v>PX-WOL-4A-5650-025</v>
      </c>
      <c r="E1072" s="0" t="str">
        <f aca="false">RIGHT(A1072,1)</f>
        <v>C</v>
      </c>
      <c r="F1072" s="0" t="s">
        <v>782</v>
      </c>
      <c r="G1072" s="0" t="str">
        <f aca="false">MID(D1072,8,1)</f>
        <v>4</v>
      </c>
      <c r="H1072" s="0" t="n">
        <v>1</v>
      </c>
    </row>
    <row r="1073" customFormat="false" ht="15" hidden="false" customHeight="false" outlineLevel="0" collapsed="false">
      <c r="A1073" s="0" t="s">
        <v>1318</v>
      </c>
      <c r="B1073" s="0" t="n">
        <v>5</v>
      </c>
      <c r="C1073" s="0" t="str">
        <f aca="false">MID(A1073,4,3)</f>
        <v>WOL</v>
      </c>
      <c r="D1073" s="0" t="str">
        <f aca="false">A1073</f>
        <v>PX-WOL-4A-5650-050</v>
      </c>
      <c r="E1073" s="0" t="str">
        <f aca="false">RIGHT(A1073,3)</f>
        <v>050</v>
      </c>
      <c r="F1073" s="0" t="s">
        <v>782</v>
      </c>
      <c r="G1073" s="0" t="str">
        <f aca="false">MID(D1073,8,1)</f>
        <v>4</v>
      </c>
      <c r="H1073" s="0" t="n">
        <v>1</v>
      </c>
    </row>
    <row r="1074" customFormat="false" ht="15" hidden="false" customHeight="false" outlineLevel="0" collapsed="false">
      <c r="A1074" s="0" t="s">
        <v>1319</v>
      </c>
      <c r="B1074" s="0" t="n">
        <v>5</v>
      </c>
      <c r="C1074" s="0" t="str">
        <f aca="false">MID(A1074,4,3)</f>
        <v>WOL</v>
      </c>
      <c r="D1074" s="0" t="str">
        <f aca="false">LEFT(A1074,18)</f>
        <v>PX-WOL-4A-5650-050</v>
      </c>
      <c r="E1074" s="0" t="str">
        <f aca="false">RIGHT(A1074,1)</f>
        <v>A</v>
      </c>
      <c r="F1074" s="0" t="s">
        <v>782</v>
      </c>
      <c r="G1074" s="0" t="str">
        <f aca="false">MID(D1074,8,1)</f>
        <v>4</v>
      </c>
      <c r="H1074" s="0" t="n">
        <v>1</v>
      </c>
    </row>
    <row r="1075" customFormat="false" ht="15" hidden="false" customHeight="false" outlineLevel="0" collapsed="false">
      <c r="A1075" s="0" t="s">
        <v>1320</v>
      </c>
      <c r="B1075" s="0" t="n">
        <v>5</v>
      </c>
      <c r="C1075" s="0" t="str">
        <f aca="false">MID(A1075,4,3)</f>
        <v>WOL</v>
      </c>
      <c r="D1075" s="0" t="str">
        <f aca="false">LEFT(A1075,18)</f>
        <v>PX-WOL-4A-5650-050</v>
      </c>
      <c r="E1075" s="0" t="str">
        <f aca="false">RIGHT(A1075,1)</f>
        <v>B</v>
      </c>
      <c r="F1075" s="0" t="s">
        <v>782</v>
      </c>
      <c r="G1075" s="0" t="str">
        <f aca="false">MID(D1075,8,1)</f>
        <v>4</v>
      </c>
      <c r="H1075" s="0" t="n">
        <v>1</v>
      </c>
    </row>
    <row r="1076" customFormat="false" ht="15" hidden="false" customHeight="false" outlineLevel="0" collapsed="false">
      <c r="A1076" s="1" t="s">
        <v>1321</v>
      </c>
      <c r="B1076" s="0" t="n">
        <v>5</v>
      </c>
      <c r="C1076" s="0" t="str">
        <f aca="false">MID(A1076,4,3)</f>
        <v>WOL</v>
      </c>
      <c r="D1076" s="0" t="str">
        <f aca="false">LEFT(A1076,18)</f>
        <v>PX-WOL-4A-5650-050</v>
      </c>
      <c r="E1076" s="1" t="str">
        <f aca="false">RIGHT(A1076,1)</f>
        <v>C</v>
      </c>
      <c r="F1076" s="0" t="s">
        <v>782</v>
      </c>
      <c r="G1076" s="0" t="str">
        <f aca="false">MID(D1076,8,1)</f>
        <v>4</v>
      </c>
      <c r="H1076" s="0" t="n">
        <v>1</v>
      </c>
    </row>
    <row r="1077" customFormat="false" ht="15" hidden="false" customHeight="false" outlineLevel="0" collapsed="false">
      <c r="A1077" s="1" t="s">
        <v>1322</v>
      </c>
      <c r="B1077" s="0" t="n">
        <v>5</v>
      </c>
      <c r="C1077" s="0" t="str">
        <f aca="false">MID(A1077,4,3)</f>
        <v>WOL</v>
      </c>
      <c r="D1077" s="0" t="str">
        <f aca="false">A1077</f>
        <v>PX-WOL-4A-5650-100</v>
      </c>
      <c r="E1077" s="1" t="str">
        <f aca="false">RIGHT(A1077,3)</f>
        <v>100</v>
      </c>
      <c r="F1077" s="0" t="s">
        <v>782</v>
      </c>
      <c r="G1077" s="0" t="str">
        <f aca="false">MID(D1077,8,1)</f>
        <v>4</v>
      </c>
      <c r="H1077" s="0" t="n">
        <v>1</v>
      </c>
    </row>
    <row r="1078" customFormat="false" ht="15" hidden="false" customHeight="false" outlineLevel="0" collapsed="false">
      <c r="A1078" s="1" t="s">
        <v>1323</v>
      </c>
      <c r="B1078" s="0" t="n">
        <v>5</v>
      </c>
      <c r="C1078" s="0" t="str">
        <f aca="false">MID(A1078,4,3)</f>
        <v>WOL</v>
      </c>
      <c r="D1078" s="0" t="str">
        <f aca="false">LEFT(A1078,18)</f>
        <v>PX-WOL-4A-5650-100</v>
      </c>
      <c r="E1078" s="1" t="str">
        <f aca="false">RIGHT(A1078,1)</f>
        <v>A</v>
      </c>
      <c r="F1078" s="0" t="s">
        <v>782</v>
      </c>
      <c r="G1078" s="0" t="str">
        <f aca="false">MID(D1078,8,1)</f>
        <v>4</v>
      </c>
      <c r="H1078" s="0" t="n">
        <v>1</v>
      </c>
    </row>
    <row r="1079" customFormat="false" ht="15" hidden="false" customHeight="false" outlineLevel="0" collapsed="false">
      <c r="A1079" s="1" t="s">
        <v>1324</v>
      </c>
      <c r="B1079" s="0" t="n">
        <v>5</v>
      </c>
      <c r="C1079" s="0" t="str">
        <f aca="false">MID(A1079,4,3)</f>
        <v>WOL</v>
      </c>
      <c r="D1079" s="0" t="str">
        <f aca="false">LEFT(A1079,18)</f>
        <v>PX-WOL-4A-5650-100</v>
      </c>
      <c r="E1079" s="1" t="str">
        <f aca="false">RIGHT(A1079,1)</f>
        <v>B</v>
      </c>
      <c r="F1079" s="0" t="s">
        <v>782</v>
      </c>
      <c r="G1079" s="0" t="str">
        <f aca="false">MID(D1079,8,1)</f>
        <v>4</v>
      </c>
      <c r="H1079" s="0" t="n">
        <v>1</v>
      </c>
    </row>
    <row r="1080" customFormat="false" ht="15" hidden="false" customHeight="false" outlineLevel="0" collapsed="false">
      <c r="A1080" s="1" t="s">
        <v>1325</v>
      </c>
      <c r="B1080" s="0" t="n">
        <v>5</v>
      </c>
      <c r="C1080" s="0" t="str">
        <f aca="false">MID(A1080,4,3)</f>
        <v>WOL</v>
      </c>
      <c r="D1080" s="0" t="str">
        <f aca="false">LEFT(A1080,18)</f>
        <v>PX-WOL-4A-5650-100</v>
      </c>
      <c r="E1080" s="1" t="str">
        <f aca="false">RIGHT(A1080,1)</f>
        <v>C</v>
      </c>
      <c r="F1080" s="0" t="s">
        <v>782</v>
      </c>
      <c r="G1080" s="0" t="str">
        <f aca="false">MID(D1080,8,1)</f>
        <v>4</v>
      </c>
      <c r="H1080" s="0" t="n">
        <v>1</v>
      </c>
    </row>
    <row r="1081" customFormat="false" ht="15" hidden="false" customHeight="false" outlineLevel="0" collapsed="false">
      <c r="A1081" s="1" t="s">
        <v>1326</v>
      </c>
      <c r="B1081" s="0" t="n">
        <v>5</v>
      </c>
      <c r="C1081" s="0" t="str">
        <f aca="false">MID(A1081,4,3)</f>
        <v>WOL</v>
      </c>
      <c r="D1081" s="0" t="str">
        <f aca="false">A1081</f>
        <v>PX-WOL-4A-5650-150</v>
      </c>
      <c r="E1081" s="1" t="str">
        <f aca="false">RIGHT(A1081,3)</f>
        <v>150</v>
      </c>
      <c r="F1081" s="0" t="s">
        <v>782</v>
      </c>
      <c r="G1081" s="0" t="str">
        <f aca="false">MID(D1081,8,1)</f>
        <v>4</v>
      </c>
      <c r="H1081" s="0" t="n">
        <v>1</v>
      </c>
    </row>
    <row r="1082" customFormat="false" ht="15" hidden="false" customHeight="false" outlineLevel="0" collapsed="false">
      <c r="A1082" s="1" t="s">
        <v>1327</v>
      </c>
      <c r="B1082" s="0" t="n">
        <v>5</v>
      </c>
      <c r="C1082" s="0" t="str">
        <f aca="false">MID(A1082,4,3)</f>
        <v>WOL</v>
      </c>
      <c r="D1082" s="0" t="str">
        <f aca="false">LEFT(A1082,18)</f>
        <v>PX-WOL-4A-5650-150</v>
      </c>
      <c r="E1082" s="1" t="str">
        <f aca="false">RIGHT(A1082,1)</f>
        <v>A</v>
      </c>
      <c r="F1082" s="0" t="s">
        <v>782</v>
      </c>
      <c r="G1082" s="0" t="str">
        <f aca="false">MID(D1082,8,1)</f>
        <v>4</v>
      </c>
      <c r="H1082" s="0" t="n">
        <v>1</v>
      </c>
    </row>
    <row r="1083" customFormat="false" ht="14.25" hidden="false" customHeight="true" outlineLevel="0" collapsed="false">
      <c r="A1083" s="1" t="s">
        <v>1328</v>
      </c>
      <c r="B1083" s="0" t="n">
        <v>5</v>
      </c>
      <c r="C1083" s="0" t="str">
        <f aca="false">MID(A1083,4,3)</f>
        <v>WOL</v>
      </c>
      <c r="D1083" s="0" t="str">
        <f aca="false">LEFT(A1083,18)</f>
        <v>PX-WOL-4A-5650-150</v>
      </c>
      <c r="E1083" s="1" t="str">
        <f aca="false">RIGHT(A1083,1)</f>
        <v>B</v>
      </c>
      <c r="F1083" s="0" t="s">
        <v>782</v>
      </c>
      <c r="G1083" s="0" t="str">
        <f aca="false">MID(D1083,8,1)</f>
        <v>4</v>
      </c>
      <c r="H1083" s="0" t="n">
        <v>1</v>
      </c>
    </row>
    <row r="1084" customFormat="false" ht="15" hidden="false" customHeight="false" outlineLevel="0" collapsed="false">
      <c r="A1084" s="1" t="s">
        <v>1329</v>
      </c>
      <c r="B1084" s="0" t="n">
        <v>5</v>
      </c>
      <c r="C1084" s="0" t="str">
        <f aca="false">MID(A1084,4,3)</f>
        <v>WOL</v>
      </c>
      <c r="D1084" s="0" t="str">
        <f aca="false">LEFT(A1084,18)</f>
        <v>PX-WOL-4A-5650-150</v>
      </c>
      <c r="E1084" s="1" t="str">
        <f aca="false">RIGHT(A1084,1)</f>
        <v>C</v>
      </c>
      <c r="F1084" s="0" t="s">
        <v>782</v>
      </c>
      <c r="G1084" s="0" t="str">
        <f aca="false">MID(D1084,8,1)</f>
        <v>4</v>
      </c>
      <c r="H1084" s="0" t="n">
        <v>1</v>
      </c>
    </row>
    <row r="1085" customFormat="false" ht="15" hidden="false" customHeight="false" outlineLevel="0" collapsed="false">
      <c r="A1085" s="1" t="s">
        <v>1330</v>
      </c>
      <c r="B1085" s="0" t="n">
        <v>5</v>
      </c>
      <c r="C1085" s="0" t="str">
        <f aca="false">MID(A1085,4,3)</f>
        <v>WOL</v>
      </c>
      <c r="D1085" s="0" t="str">
        <f aca="false">A1085</f>
        <v>PX-WOL-4A-5652-000</v>
      </c>
      <c r="E1085" s="1" t="str">
        <f aca="false">RIGHT(A1085,3)</f>
        <v>000</v>
      </c>
      <c r="F1085" s="0" t="s">
        <v>782</v>
      </c>
      <c r="G1085" s="0" t="str">
        <f aca="false">MID(D1085,8,1)</f>
        <v>4</v>
      </c>
      <c r="H1085" s="0" t="n">
        <v>1</v>
      </c>
    </row>
    <row r="1086" customFormat="false" ht="15" hidden="false" customHeight="false" outlineLevel="0" collapsed="false">
      <c r="A1086" s="1" t="s">
        <v>1331</v>
      </c>
      <c r="B1086" s="0" t="n">
        <v>5</v>
      </c>
      <c r="C1086" s="0" t="str">
        <f aca="false">MID(A1086,4,3)</f>
        <v>WOL</v>
      </c>
      <c r="D1086" s="0" t="str">
        <f aca="false">LEFT(A1086,18)</f>
        <v>PX-WOL-4A-5652-000</v>
      </c>
      <c r="E1086" s="1" t="str">
        <f aca="false">RIGHT(A1086,1)</f>
        <v>A</v>
      </c>
      <c r="F1086" s="0" t="s">
        <v>782</v>
      </c>
      <c r="G1086" s="0" t="str">
        <f aca="false">MID(D1086,8,1)</f>
        <v>4</v>
      </c>
      <c r="H1086" s="0" t="n">
        <v>1</v>
      </c>
    </row>
    <row r="1087" customFormat="false" ht="15" hidden="false" customHeight="false" outlineLevel="0" collapsed="false">
      <c r="A1087" s="1" t="s">
        <v>1332</v>
      </c>
      <c r="B1087" s="0" t="n">
        <v>5</v>
      </c>
      <c r="C1087" s="0" t="str">
        <f aca="false">MID(A1087,4,3)</f>
        <v>WOL</v>
      </c>
      <c r="D1087" s="0" t="str">
        <f aca="false">LEFT(A1087,18)</f>
        <v>PX-WOL-4A-5652-000</v>
      </c>
      <c r="E1087" s="1" t="str">
        <f aca="false">RIGHT(A1087,1)</f>
        <v>B</v>
      </c>
      <c r="F1087" s="0" t="s">
        <v>782</v>
      </c>
      <c r="G1087" s="0" t="str">
        <f aca="false">MID(D1087,8,1)</f>
        <v>4</v>
      </c>
      <c r="H1087" s="0" t="n">
        <v>1</v>
      </c>
    </row>
    <row r="1088" customFormat="false" ht="15" hidden="false" customHeight="false" outlineLevel="0" collapsed="false">
      <c r="A1088" s="1" t="s">
        <v>1333</v>
      </c>
      <c r="B1088" s="0" t="n">
        <v>5</v>
      </c>
      <c r="C1088" s="0" t="str">
        <f aca="false">MID(A1088,4,3)</f>
        <v>WOL</v>
      </c>
      <c r="D1088" s="0" t="str">
        <f aca="false">LEFT(A1088,18)</f>
        <v>PX-WOL-4A-5652-000</v>
      </c>
      <c r="E1088" s="1" t="str">
        <f aca="false">RIGHT(A1088,1)</f>
        <v>C</v>
      </c>
      <c r="F1088" s="0" t="s">
        <v>782</v>
      </c>
      <c r="G1088" s="0" t="str">
        <f aca="false">MID(D1088,8,1)</f>
        <v>4</v>
      </c>
      <c r="H1088" s="0" t="n">
        <v>1</v>
      </c>
    </row>
    <row r="1089" customFormat="false" ht="15" hidden="false" customHeight="false" outlineLevel="0" collapsed="false">
      <c r="A1089" s="1" t="s">
        <v>1334</v>
      </c>
      <c r="B1089" s="0" t="n">
        <v>5</v>
      </c>
      <c r="C1089" s="0" t="str">
        <f aca="false">MID(A1089,4,3)</f>
        <v>WOL</v>
      </c>
      <c r="D1089" s="0" t="str">
        <f aca="false">A1089</f>
        <v>PX-WOL-4A-5652-050</v>
      </c>
      <c r="E1089" s="1" t="str">
        <f aca="false">RIGHT(A1089,3)</f>
        <v>050</v>
      </c>
      <c r="F1089" s="0" t="s">
        <v>782</v>
      </c>
      <c r="G1089" s="0" t="str">
        <f aca="false">MID(D1089,8,1)</f>
        <v>4</v>
      </c>
      <c r="H1089" s="0" t="n">
        <v>1</v>
      </c>
    </row>
    <row r="1090" customFormat="false" ht="15" hidden="false" customHeight="false" outlineLevel="0" collapsed="false">
      <c r="A1090" s="1" t="s">
        <v>1335</v>
      </c>
      <c r="B1090" s="0" t="n">
        <v>5</v>
      </c>
      <c r="C1090" s="0" t="str">
        <f aca="false">MID(A1090,4,3)</f>
        <v>WOL</v>
      </c>
      <c r="D1090" s="0" t="str">
        <f aca="false">LEFT(A1090,18)</f>
        <v>PX-WOL-4A-5652-050</v>
      </c>
      <c r="E1090" s="1" t="str">
        <f aca="false">RIGHT(A1090,1)</f>
        <v>A</v>
      </c>
      <c r="F1090" s="0" t="s">
        <v>782</v>
      </c>
      <c r="G1090" s="0" t="str">
        <f aca="false">MID(D1090,8,1)</f>
        <v>4</v>
      </c>
      <c r="H1090" s="0" t="n">
        <v>1</v>
      </c>
    </row>
    <row r="1091" customFormat="false" ht="15" hidden="false" customHeight="false" outlineLevel="0" collapsed="false">
      <c r="A1091" s="1" t="s">
        <v>1336</v>
      </c>
      <c r="B1091" s="0" t="n">
        <v>5</v>
      </c>
      <c r="C1091" s="0" t="str">
        <f aca="false">MID(A1091,4,3)</f>
        <v>WOL</v>
      </c>
      <c r="D1091" s="0" t="str">
        <f aca="false">LEFT(A1091,18)</f>
        <v>PX-WOL-4A-5652-050</v>
      </c>
      <c r="E1091" s="1" t="str">
        <f aca="false">RIGHT(A1091,1)</f>
        <v>B</v>
      </c>
      <c r="F1091" s="0" t="s">
        <v>782</v>
      </c>
      <c r="G1091" s="0" t="str">
        <f aca="false">MID(D1091,8,1)</f>
        <v>4</v>
      </c>
      <c r="H1091" s="0" t="n">
        <v>1</v>
      </c>
    </row>
    <row r="1092" customFormat="false" ht="15" hidden="false" customHeight="false" outlineLevel="0" collapsed="false">
      <c r="A1092" s="1" t="s">
        <v>1337</v>
      </c>
      <c r="B1092" s="0" t="n">
        <v>5</v>
      </c>
      <c r="C1092" s="0" t="str">
        <f aca="false">MID(A1092,4,3)</f>
        <v>WOL</v>
      </c>
      <c r="D1092" s="0" t="str">
        <f aca="false">LEFT(A1092,18)</f>
        <v>PX-WOL-4A-5652-050</v>
      </c>
      <c r="E1092" s="1" t="str">
        <f aca="false">RIGHT(A1092,1)</f>
        <v>C</v>
      </c>
      <c r="F1092" s="0" t="s">
        <v>782</v>
      </c>
      <c r="G1092" s="0" t="str">
        <f aca="false">MID(D1092,8,1)</f>
        <v>4</v>
      </c>
      <c r="H1092" s="0" t="n">
        <v>1</v>
      </c>
    </row>
    <row r="1093" customFormat="false" ht="15" hidden="false" customHeight="false" outlineLevel="0" collapsed="false">
      <c r="A1093" s="1" t="s">
        <v>1338</v>
      </c>
      <c r="B1093" s="0" t="n">
        <v>5</v>
      </c>
      <c r="C1093" s="0" t="str">
        <f aca="false">MID(A1093,4,3)</f>
        <v>WOL</v>
      </c>
      <c r="D1093" s="0" t="str">
        <f aca="false">A1093</f>
        <v>PX-WOL-4A-5652-100</v>
      </c>
      <c r="E1093" s="1" t="str">
        <f aca="false">RIGHT(A1093,3)</f>
        <v>100</v>
      </c>
      <c r="F1093" s="0" t="s">
        <v>782</v>
      </c>
      <c r="G1093" s="0" t="str">
        <f aca="false">MID(D1093,8,1)</f>
        <v>4</v>
      </c>
      <c r="H1093" s="0" t="n">
        <v>1</v>
      </c>
    </row>
    <row r="1094" customFormat="false" ht="15" hidden="false" customHeight="false" outlineLevel="0" collapsed="false">
      <c r="A1094" s="1" t="s">
        <v>1339</v>
      </c>
      <c r="B1094" s="0" t="n">
        <v>5</v>
      </c>
      <c r="C1094" s="0" t="str">
        <f aca="false">MID(A1094,4,3)</f>
        <v>WOL</v>
      </c>
      <c r="D1094" s="0" t="str">
        <f aca="false">LEFT(A1094,18)</f>
        <v>PX-WOL-4A-5652-100</v>
      </c>
      <c r="E1094" s="1" t="str">
        <f aca="false">RIGHT(A1094,1)</f>
        <v>A</v>
      </c>
      <c r="F1094" s="0" t="s">
        <v>782</v>
      </c>
      <c r="G1094" s="0" t="str">
        <f aca="false">MID(D1094,8,1)</f>
        <v>4</v>
      </c>
      <c r="H1094" s="0" t="n">
        <v>1</v>
      </c>
    </row>
    <row r="1095" customFormat="false" ht="15" hidden="false" customHeight="false" outlineLevel="0" collapsed="false">
      <c r="A1095" s="1" t="s">
        <v>1340</v>
      </c>
      <c r="B1095" s="0" t="n">
        <v>5</v>
      </c>
      <c r="C1095" s="0" t="str">
        <f aca="false">MID(A1095,4,3)</f>
        <v>WOL</v>
      </c>
      <c r="D1095" s="0" t="str">
        <f aca="false">LEFT(A1095,18)</f>
        <v>PX-WOL-4A-5652-100</v>
      </c>
      <c r="E1095" s="1" t="str">
        <f aca="false">RIGHT(A1095,1)</f>
        <v>B</v>
      </c>
      <c r="F1095" s="0" t="s">
        <v>782</v>
      </c>
      <c r="G1095" s="0" t="str">
        <f aca="false">MID(D1095,8,1)</f>
        <v>4</v>
      </c>
      <c r="H1095" s="0" t="n">
        <v>1</v>
      </c>
    </row>
    <row r="1096" customFormat="false" ht="15" hidden="false" customHeight="false" outlineLevel="0" collapsed="false">
      <c r="A1096" s="1" t="s">
        <v>1341</v>
      </c>
      <c r="B1096" s="0" t="n">
        <v>5</v>
      </c>
      <c r="C1096" s="0" t="str">
        <f aca="false">MID(A1096,4,3)</f>
        <v>WOL</v>
      </c>
      <c r="D1096" s="0" t="str">
        <f aca="false">LEFT(A1096,18)</f>
        <v>PX-WOL-4A-5652-100</v>
      </c>
      <c r="E1096" s="1" t="str">
        <f aca="false">RIGHT(A1096,1)</f>
        <v>C</v>
      </c>
      <c r="F1096" s="0" t="s">
        <v>782</v>
      </c>
      <c r="G1096" s="0" t="str">
        <f aca="false">MID(D1096,8,1)</f>
        <v>4</v>
      </c>
      <c r="H1096" s="0" t="n">
        <v>1</v>
      </c>
    </row>
    <row r="1097" customFormat="false" ht="15" hidden="false" customHeight="false" outlineLevel="0" collapsed="false">
      <c r="A1097" s="1" t="s">
        <v>1342</v>
      </c>
      <c r="B1097" s="0" t="n">
        <v>5</v>
      </c>
      <c r="C1097" s="0" t="str">
        <f aca="false">MID(A1097,4,3)</f>
        <v>WOL</v>
      </c>
      <c r="D1097" s="0" t="str">
        <f aca="false">A1097</f>
        <v>PX-WOL-4A-5653-000</v>
      </c>
      <c r="E1097" s="1" t="str">
        <f aca="false">RIGHT(A1097,3)</f>
        <v>000</v>
      </c>
      <c r="F1097" s="0" t="s">
        <v>782</v>
      </c>
      <c r="G1097" s="0" t="str">
        <f aca="false">MID(D1097,8,1)</f>
        <v>4</v>
      </c>
      <c r="H1097" s="0" t="n">
        <v>1</v>
      </c>
    </row>
    <row r="1098" customFormat="false" ht="15" hidden="false" customHeight="false" outlineLevel="0" collapsed="false">
      <c r="A1098" s="1" t="s">
        <v>1343</v>
      </c>
      <c r="B1098" s="0" t="n">
        <v>5</v>
      </c>
      <c r="C1098" s="0" t="str">
        <f aca="false">MID(A1098,4,3)</f>
        <v>WOL</v>
      </c>
      <c r="D1098" s="0" t="str">
        <f aca="false">LEFT(A1098,18)</f>
        <v>PX-WOL-4A-5653-000</v>
      </c>
      <c r="E1098" s="0" t="str">
        <f aca="false">RIGHT(A1098,1)</f>
        <v>A</v>
      </c>
      <c r="F1098" s="0" t="s">
        <v>782</v>
      </c>
      <c r="G1098" s="0" t="str">
        <f aca="false">MID(D1098,8,1)</f>
        <v>4</v>
      </c>
      <c r="H1098" s="0" t="n">
        <v>1</v>
      </c>
    </row>
    <row r="1099" customFormat="false" ht="15" hidden="false" customHeight="false" outlineLevel="0" collapsed="false">
      <c r="A1099" s="1" t="s">
        <v>1344</v>
      </c>
      <c r="B1099" s="0" t="n">
        <v>5</v>
      </c>
      <c r="C1099" s="0" t="str">
        <f aca="false">MID(A1099,4,3)</f>
        <v>WOL</v>
      </c>
      <c r="D1099" s="0" t="str">
        <f aca="false">LEFT(A1099,18)</f>
        <v>PX-WOL-4A-5653-000</v>
      </c>
      <c r="E1099" s="1" t="str">
        <f aca="false">RIGHT(A1099,1)</f>
        <v>B</v>
      </c>
      <c r="F1099" s="0" t="s">
        <v>782</v>
      </c>
      <c r="G1099" s="0" t="str">
        <f aca="false">MID(D1099,8,1)</f>
        <v>4</v>
      </c>
      <c r="H1099" s="0" t="n">
        <v>1</v>
      </c>
    </row>
    <row r="1100" customFormat="false" ht="15" hidden="false" customHeight="false" outlineLevel="0" collapsed="false">
      <c r="A1100" s="1" t="s">
        <v>1345</v>
      </c>
      <c r="B1100" s="0" t="n">
        <v>5</v>
      </c>
      <c r="C1100" s="0" t="str">
        <f aca="false">MID(A1100,4,3)</f>
        <v>WOL</v>
      </c>
      <c r="D1100" s="0" t="str">
        <f aca="false">LEFT(A1100,18)</f>
        <v>PX-WOL-4A-5653-000</v>
      </c>
      <c r="E1100" s="1" t="str">
        <f aca="false">RIGHT(A1100,1)</f>
        <v>C</v>
      </c>
      <c r="F1100" s="0" t="s">
        <v>782</v>
      </c>
      <c r="G1100" s="0" t="str">
        <f aca="false">MID(D1100,8,1)</f>
        <v>4</v>
      </c>
      <c r="H1100" s="0" t="n">
        <v>1</v>
      </c>
    </row>
    <row r="1101" customFormat="false" ht="15" hidden="false" customHeight="false" outlineLevel="0" collapsed="false">
      <c r="A1101" s="1" t="s">
        <v>1346</v>
      </c>
      <c r="B1101" s="0" t="n">
        <v>5</v>
      </c>
      <c r="C1101" s="0" t="str">
        <f aca="false">MID(A1101,4,3)</f>
        <v>WOL</v>
      </c>
      <c r="D1101" s="0" t="str">
        <f aca="false">LEFT(A1101,18)</f>
        <v>PX-WOL-4A-5653-000</v>
      </c>
      <c r="E1101" s="1" t="str">
        <f aca="false">RIGHT(A1101,1)</f>
        <v>D</v>
      </c>
      <c r="F1101" s="0" t="s">
        <v>782</v>
      </c>
      <c r="G1101" s="0" t="str">
        <f aca="false">MID(D1101,8,1)</f>
        <v>4</v>
      </c>
      <c r="H1101" s="0" t="n">
        <v>1</v>
      </c>
    </row>
    <row r="1102" customFormat="false" ht="15" hidden="false" customHeight="false" outlineLevel="0" collapsed="false">
      <c r="A1102" s="1" t="s">
        <v>1347</v>
      </c>
      <c r="B1102" s="0" t="n">
        <v>5</v>
      </c>
      <c r="C1102" s="0" t="str">
        <f aca="false">MID(A1102,4,3)</f>
        <v>WOL</v>
      </c>
      <c r="D1102" s="0" t="str">
        <f aca="false">LEFT(A1102,18)</f>
        <v>PX-WOL-4A-5653-000</v>
      </c>
      <c r="E1102" s="1" t="str">
        <f aca="false">RIGHT(A1102,1)</f>
        <v>E</v>
      </c>
      <c r="F1102" s="0" t="s">
        <v>782</v>
      </c>
      <c r="G1102" s="0" t="str">
        <f aca="false">MID(D1102,8,1)</f>
        <v>4</v>
      </c>
      <c r="H1102" s="0" t="n">
        <v>1</v>
      </c>
    </row>
    <row r="1103" customFormat="false" ht="15" hidden="false" customHeight="false" outlineLevel="0" collapsed="false">
      <c r="A1103" s="1" t="s">
        <v>1348</v>
      </c>
      <c r="B1103" s="0" t="n">
        <v>5</v>
      </c>
      <c r="C1103" s="0" t="str">
        <f aca="false">MID(A1103,4,3)</f>
        <v>WOL</v>
      </c>
      <c r="D1103" s="0" t="str">
        <f aca="false">A1103</f>
        <v>PX-WOL-4A-5653-025</v>
      </c>
      <c r="E1103" s="1" t="str">
        <f aca="false">RIGHT(A1103,3)</f>
        <v>025</v>
      </c>
      <c r="F1103" s="0" t="s">
        <v>782</v>
      </c>
      <c r="G1103" s="0" t="str">
        <f aca="false">MID(D1103,8,1)</f>
        <v>4</v>
      </c>
      <c r="H1103" s="0" t="n">
        <v>1</v>
      </c>
    </row>
    <row r="1104" customFormat="false" ht="15" hidden="false" customHeight="false" outlineLevel="0" collapsed="false">
      <c r="A1104" s="1" t="s">
        <v>1349</v>
      </c>
      <c r="B1104" s="0" t="n">
        <v>5</v>
      </c>
      <c r="C1104" s="0" t="str">
        <f aca="false">MID(A1104,4,3)</f>
        <v>WOL</v>
      </c>
      <c r="D1104" s="0" t="str">
        <f aca="false">LEFT(A1104,18)</f>
        <v>PX-WOL-4A-5653-025</v>
      </c>
      <c r="E1104" s="0" t="str">
        <f aca="false">RIGHT(A1104,1)</f>
        <v>A</v>
      </c>
      <c r="F1104" s="0" t="s">
        <v>782</v>
      </c>
      <c r="G1104" s="0" t="str">
        <f aca="false">MID(D1104,8,1)</f>
        <v>4</v>
      </c>
      <c r="H1104" s="0" t="n">
        <v>1</v>
      </c>
    </row>
    <row r="1105" customFormat="false" ht="15" hidden="false" customHeight="false" outlineLevel="0" collapsed="false">
      <c r="A1105" s="1" t="s">
        <v>1350</v>
      </c>
      <c r="B1105" s="0" t="n">
        <v>5</v>
      </c>
      <c r="C1105" s="0" t="str">
        <f aca="false">MID(A1105,4,3)</f>
        <v>WOL</v>
      </c>
      <c r="D1105" s="0" t="str">
        <f aca="false">LEFT(A1105,18)</f>
        <v>PX-WOL-4A-5653-025</v>
      </c>
      <c r="E1105" s="0" t="str">
        <f aca="false">RIGHT(A1105,1)</f>
        <v>B</v>
      </c>
      <c r="F1105" s="0" t="s">
        <v>782</v>
      </c>
      <c r="G1105" s="0" t="str">
        <f aca="false">MID(D1105,8,1)</f>
        <v>4</v>
      </c>
      <c r="H1105" s="0" t="n">
        <v>1</v>
      </c>
    </row>
    <row r="1106" customFormat="false" ht="15" hidden="false" customHeight="false" outlineLevel="0" collapsed="false">
      <c r="A1106" s="1" t="s">
        <v>1351</v>
      </c>
      <c r="B1106" s="0" t="n">
        <v>5</v>
      </c>
      <c r="C1106" s="0" t="str">
        <f aca="false">MID(A1106,4,3)</f>
        <v>WOL</v>
      </c>
      <c r="D1106" s="0" t="str">
        <f aca="false">LEFT(A1106,18)</f>
        <v>PX-WOL-4A-5653-025</v>
      </c>
      <c r="E1106" s="0" t="str">
        <f aca="false">RIGHT(A1106,1)</f>
        <v>C</v>
      </c>
      <c r="F1106" s="0" t="s">
        <v>782</v>
      </c>
      <c r="G1106" s="0" t="str">
        <f aca="false">MID(D1106,8,1)</f>
        <v>4</v>
      </c>
      <c r="H1106" s="0" t="n">
        <v>1</v>
      </c>
    </row>
    <row r="1107" customFormat="false" ht="15" hidden="false" customHeight="false" outlineLevel="0" collapsed="false">
      <c r="A1107" s="1" t="s">
        <v>1352</v>
      </c>
      <c r="B1107" s="0" t="n">
        <v>5</v>
      </c>
      <c r="C1107" s="0" t="str">
        <f aca="false">MID(A1107,4,3)</f>
        <v>WOL</v>
      </c>
      <c r="D1107" s="0" t="str">
        <f aca="false">LEFT(A1107,18)</f>
        <v>PX-WOL-4A-5653-025</v>
      </c>
      <c r="E1107" s="0" t="str">
        <f aca="false">RIGHT(A1107,1)</f>
        <v>D</v>
      </c>
      <c r="F1107" s="0" t="s">
        <v>782</v>
      </c>
      <c r="G1107" s="0" t="str">
        <f aca="false">MID(D1107,8,1)</f>
        <v>4</v>
      </c>
      <c r="H1107" s="0" t="n">
        <v>1</v>
      </c>
    </row>
    <row r="1108" customFormat="false" ht="15" hidden="false" customHeight="false" outlineLevel="0" collapsed="false">
      <c r="A1108" s="1" t="s">
        <v>1353</v>
      </c>
      <c r="B1108" s="0" t="n">
        <v>5</v>
      </c>
      <c r="C1108" s="0" t="str">
        <f aca="false">MID(A1108,4,3)</f>
        <v>WOL</v>
      </c>
      <c r="D1108" s="0" t="str">
        <f aca="false">LEFT(A1108,18)</f>
        <v>PX-WOL-4A-5653-025</v>
      </c>
      <c r="E1108" s="0" t="str">
        <f aca="false">RIGHT(A1108,1)</f>
        <v>E</v>
      </c>
      <c r="F1108" s="0" t="s">
        <v>782</v>
      </c>
      <c r="G1108" s="0" t="str">
        <f aca="false">MID(D1108,8,1)</f>
        <v>4</v>
      </c>
      <c r="H1108" s="0" t="n">
        <v>1</v>
      </c>
    </row>
    <row r="1109" customFormat="false" ht="15" hidden="false" customHeight="false" outlineLevel="0" collapsed="false">
      <c r="A1109" s="1" t="s">
        <v>1354</v>
      </c>
      <c r="B1109" s="0" t="n">
        <v>5</v>
      </c>
      <c r="C1109" s="0" t="str">
        <f aca="false">MID(A1109,4,3)</f>
        <v>WOL</v>
      </c>
      <c r="D1109" s="0" t="str">
        <f aca="false">A1109</f>
        <v>PX-WOL-4A-5653-050</v>
      </c>
      <c r="E1109" s="0" t="str">
        <f aca="false">RIGHT(A1109,3)</f>
        <v>050</v>
      </c>
      <c r="F1109" s="0" t="s">
        <v>782</v>
      </c>
      <c r="G1109" s="0" t="str">
        <f aca="false">MID(D1109,8,1)</f>
        <v>4</v>
      </c>
      <c r="H1109" s="0" t="n">
        <v>1</v>
      </c>
    </row>
    <row r="1110" customFormat="false" ht="15" hidden="false" customHeight="false" outlineLevel="0" collapsed="false">
      <c r="A1110" s="1" t="s">
        <v>1355</v>
      </c>
      <c r="B1110" s="0" t="n">
        <v>5</v>
      </c>
      <c r="C1110" s="0" t="str">
        <f aca="false">MID(A1110,4,3)</f>
        <v>WOL</v>
      </c>
      <c r="D1110" s="0" t="str">
        <f aca="false">LEFT(A1110,18)</f>
        <v>PX-WOL-4A-5653-050</v>
      </c>
      <c r="E1110" s="0" t="str">
        <f aca="false">RIGHT(A1110,1)</f>
        <v>A</v>
      </c>
      <c r="F1110" s="0" t="s">
        <v>782</v>
      </c>
      <c r="G1110" s="0" t="str">
        <f aca="false">MID(D1110,8,1)</f>
        <v>4</v>
      </c>
      <c r="H1110" s="0" t="n">
        <v>1</v>
      </c>
    </row>
    <row r="1111" customFormat="false" ht="15" hidden="false" customHeight="false" outlineLevel="0" collapsed="false">
      <c r="A1111" s="1" t="s">
        <v>1356</v>
      </c>
      <c r="B1111" s="0" t="n">
        <v>5</v>
      </c>
      <c r="C1111" s="0" t="str">
        <f aca="false">MID(A1111,4,3)</f>
        <v>WOL</v>
      </c>
      <c r="D1111" s="0" t="str">
        <f aca="false">LEFT(A1111,18)</f>
        <v>PX-WOL-4A-5653-050</v>
      </c>
      <c r="E1111" s="0" t="str">
        <f aca="false">RIGHT(A1111,1)</f>
        <v>B</v>
      </c>
      <c r="F1111" s="0" t="s">
        <v>782</v>
      </c>
      <c r="G1111" s="0" t="str">
        <f aca="false">MID(D1111,8,1)</f>
        <v>4</v>
      </c>
      <c r="H1111" s="0" t="n">
        <v>1</v>
      </c>
    </row>
    <row r="1112" customFormat="false" ht="15" hidden="false" customHeight="false" outlineLevel="0" collapsed="false">
      <c r="A1112" s="1" t="s">
        <v>1357</v>
      </c>
      <c r="B1112" s="0" t="n">
        <v>5</v>
      </c>
      <c r="C1112" s="0" t="str">
        <f aca="false">MID(A1112,4,3)</f>
        <v>WOL</v>
      </c>
      <c r="D1112" s="0" t="str">
        <f aca="false">LEFT(A1112,18)</f>
        <v>PX-WOL-4A-5653-050</v>
      </c>
      <c r="E1112" s="0" t="str">
        <f aca="false">RIGHT(A1112,1)</f>
        <v>C</v>
      </c>
      <c r="F1112" s="0" t="s">
        <v>782</v>
      </c>
      <c r="G1112" s="0" t="str">
        <f aca="false">MID(D1112,8,1)</f>
        <v>4</v>
      </c>
      <c r="H1112" s="0" t="n">
        <v>1</v>
      </c>
    </row>
    <row r="1113" customFormat="false" ht="15" hidden="false" customHeight="false" outlineLevel="0" collapsed="false">
      <c r="A1113" s="1" t="s">
        <v>1358</v>
      </c>
      <c r="B1113" s="0" t="n">
        <v>5</v>
      </c>
      <c r="C1113" s="0" t="str">
        <f aca="false">MID(A1113,4,3)</f>
        <v>WOL</v>
      </c>
      <c r="D1113" s="0" t="str">
        <f aca="false">A1113</f>
        <v>PX-WOL-4A-5653-100</v>
      </c>
      <c r="E1113" s="0" t="str">
        <f aca="false">RIGHT(A1113,3)</f>
        <v>100</v>
      </c>
      <c r="F1113" s="0" t="s">
        <v>782</v>
      </c>
      <c r="G1113" s="0" t="str">
        <f aca="false">MID(D1113,8,1)</f>
        <v>4</v>
      </c>
      <c r="H1113" s="0" t="n">
        <v>1</v>
      </c>
    </row>
    <row r="1114" customFormat="false" ht="15" hidden="false" customHeight="false" outlineLevel="0" collapsed="false">
      <c r="A1114" s="0" t="s">
        <v>1359</v>
      </c>
      <c r="B1114" s="0" t="n">
        <v>5</v>
      </c>
      <c r="C1114" s="0" t="str">
        <f aca="false">MID(A1114,4,3)</f>
        <v>WOL</v>
      </c>
      <c r="D1114" s="0" t="str">
        <f aca="false">LEFT(A1114,18)</f>
        <v>PX-WOL-4A-5653-100</v>
      </c>
      <c r="E1114" s="0" t="str">
        <f aca="false">RIGHT(A1114,1)</f>
        <v>A</v>
      </c>
      <c r="F1114" s="0" t="s">
        <v>782</v>
      </c>
      <c r="G1114" s="0" t="str">
        <f aca="false">MID(D1114,8,1)</f>
        <v>4</v>
      </c>
      <c r="H1114" s="0" t="n">
        <v>1</v>
      </c>
    </row>
    <row r="1115" customFormat="false" ht="15" hidden="false" customHeight="false" outlineLevel="0" collapsed="false">
      <c r="A1115" s="0" t="s">
        <v>1360</v>
      </c>
      <c r="B1115" s="0" t="n">
        <v>5</v>
      </c>
      <c r="C1115" s="0" t="str">
        <f aca="false">MID(A1115,4,3)</f>
        <v>WOL</v>
      </c>
      <c r="D1115" s="0" t="str">
        <f aca="false">LEFT(A1115,18)</f>
        <v>PX-WOL-4A-5653-100</v>
      </c>
      <c r="E1115" s="0" t="str">
        <f aca="false">RIGHT(A1115,1)</f>
        <v>B</v>
      </c>
      <c r="F1115" s="0" t="s">
        <v>782</v>
      </c>
      <c r="G1115" s="0" t="str">
        <f aca="false">MID(D1115,8,1)</f>
        <v>4</v>
      </c>
      <c r="H1115" s="0" t="n">
        <v>1</v>
      </c>
    </row>
    <row r="1116" customFormat="false" ht="15" hidden="false" customHeight="false" outlineLevel="0" collapsed="false">
      <c r="A1116" s="0" t="s">
        <v>1361</v>
      </c>
      <c r="B1116" s="0" t="n">
        <v>5</v>
      </c>
      <c r="C1116" s="0" t="str">
        <f aca="false">MID(A1116,4,3)</f>
        <v>WOL</v>
      </c>
      <c r="D1116" s="0" t="str">
        <f aca="false">LEFT(A1116,18)</f>
        <v>PX-WOL-4A-5653-100</v>
      </c>
      <c r="E1116" s="0" t="str">
        <f aca="false">RIGHT(A1116,1)</f>
        <v>C</v>
      </c>
      <c r="F1116" s="0" t="s">
        <v>782</v>
      </c>
      <c r="G1116" s="0" t="str">
        <f aca="false">MID(D1116,8,1)</f>
        <v>4</v>
      </c>
      <c r="H1116" s="0" t="n">
        <v>1</v>
      </c>
    </row>
    <row r="1117" customFormat="false" ht="15" hidden="false" customHeight="false" outlineLevel="0" collapsed="false">
      <c r="A1117" s="0" t="s">
        <v>1362</v>
      </c>
      <c r="B1117" s="0" t="n">
        <v>5</v>
      </c>
      <c r="C1117" s="0" t="str">
        <f aca="false">MID(A1117,4,3)</f>
        <v>WOL</v>
      </c>
      <c r="D1117" s="0" t="str">
        <f aca="false">A1117</f>
        <v>PX-WOL-4A-5653-150</v>
      </c>
      <c r="E1117" s="0" t="str">
        <f aca="false">RIGHT(A1117,3)</f>
        <v>150</v>
      </c>
      <c r="F1117" s="0" t="s">
        <v>782</v>
      </c>
      <c r="G1117" s="0" t="str">
        <f aca="false">MID(D1117,8,1)</f>
        <v>4</v>
      </c>
      <c r="H1117" s="0" t="n">
        <v>1</v>
      </c>
    </row>
    <row r="1118" customFormat="false" ht="15" hidden="false" customHeight="false" outlineLevel="0" collapsed="false">
      <c r="A1118" s="0" t="s">
        <v>1363</v>
      </c>
      <c r="B1118" s="0" t="n">
        <v>5</v>
      </c>
      <c r="C1118" s="0" t="str">
        <f aca="false">MID(A1118,4,3)</f>
        <v>WOL</v>
      </c>
      <c r="D1118" s="0" t="str">
        <f aca="false">LEFT(A1118,18)</f>
        <v>PX-WOL-4A-5653-150</v>
      </c>
      <c r="E1118" s="0" t="str">
        <f aca="false">RIGHT(A1118,1)</f>
        <v>A</v>
      </c>
      <c r="F1118" s="0" t="s">
        <v>782</v>
      </c>
      <c r="G1118" s="0" t="str">
        <f aca="false">MID(D1118,8,1)</f>
        <v>4</v>
      </c>
      <c r="H1118" s="0" t="n">
        <v>1</v>
      </c>
    </row>
    <row r="1119" customFormat="false" ht="15" hidden="false" customHeight="false" outlineLevel="0" collapsed="false">
      <c r="A1119" s="0" t="s">
        <v>1364</v>
      </c>
      <c r="B1119" s="0" t="n">
        <v>5</v>
      </c>
      <c r="C1119" s="0" t="str">
        <f aca="false">MID(A1119,4,3)</f>
        <v>WOL</v>
      </c>
      <c r="D1119" s="0" t="str">
        <f aca="false">LEFT(A1119,18)</f>
        <v>PX-WOL-4A-5653-150</v>
      </c>
      <c r="E1119" s="0" t="str">
        <f aca="false">RIGHT(A1119,1)</f>
        <v>B</v>
      </c>
      <c r="F1119" s="0" t="s">
        <v>782</v>
      </c>
      <c r="G1119" s="0" t="str">
        <f aca="false">MID(D1119,8,1)</f>
        <v>4</v>
      </c>
      <c r="H1119" s="0" t="n">
        <v>1</v>
      </c>
    </row>
    <row r="1120" customFormat="false" ht="15" hidden="false" customHeight="false" outlineLevel="0" collapsed="false">
      <c r="A1120" s="0" t="s">
        <v>1365</v>
      </c>
      <c r="B1120" s="0" t="n">
        <v>5</v>
      </c>
      <c r="C1120" s="0" t="str">
        <f aca="false">MID(A1120,4,3)</f>
        <v>WOL</v>
      </c>
      <c r="D1120" s="0" t="str">
        <f aca="false">LEFT(A1120,18)</f>
        <v>PX-WOL-4A-5653-150</v>
      </c>
      <c r="E1120" s="0" t="str">
        <f aca="false">RIGHT(A1120,1)</f>
        <v>C</v>
      </c>
      <c r="F1120" s="0" t="s">
        <v>782</v>
      </c>
      <c r="G1120" s="0" t="str">
        <f aca="false">MID(D1120,8,1)</f>
        <v>4</v>
      </c>
      <c r="H1120" s="0" t="n">
        <v>1</v>
      </c>
    </row>
    <row r="1121" customFormat="false" ht="15" hidden="false" customHeight="false" outlineLevel="0" collapsed="false">
      <c r="A1121" s="0" t="s">
        <v>1366</v>
      </c>
      <c r="B1121" s="0" t="n">
        <v>5</v>
      </c>
      <c r="C1121" s="0" t="str">
        <f aca="false">MID(A1121,4,3)</f>
        <v>WOL</v>
      </c>
      <c r="D1121" s="0" t="str">
        <f aca="false">LEFT(A1121,18)</f>
        <v>PX-WOL-4A-5654-000</v>
      </c>
      <c r="E1121" s="0" t="str">
        <f aca="false">RIGHT(A1121,1)</f>
        <v>A</v>
      </c>
      <c r="F1121" s="0" t="s">
        <v>782</v>
      </c>
      <c r="G1121" s="0" t="str">
        <f aca="false">MID(D1121,8,1)</f>
        <v>4</v>
      </c>
      <c r="H1121" s="0" t="n">
        <v>1</v>
      </c>
    </row>
    <row r="1122" customFormat="false" ht="15" hidden="false" customHeight="false" outlineLevel="0" collapsed="false">
      <c r="A1122" s="0" t="s">
        <v>1367</v>
      </c>
      <c r="B1122" s="0" t="n">
        <v>5</v>
      </c>
      <c r="C1122" s="0" t="str">
        <f aca="false">MID(A1122,4,3)</f>
        <v>WOL</v>
      </c>
      <c r="D1122" s="0" t="str">
        <f aca="false">LEFT(A1122,18)</f>
        <v>PX-WOL-4A-5654-000</v>
      </c>
      <c r="E1122" s="0" t="str">
        <f aca="false">RIGHT(A1122,1)</f>
        <v>B</v>
      </c>
      <c r="F1122" s="0" t="s">
        <v>782</v>
      </c>
      <c r="G1122" s="0" t="str">
        <f aca="false">MID(D1122,8,1)</f>
        <v>4</v>
      </c>
      <c r="H1122" s="0" t="n">
        <v>1</v>
      </c>
    </row>
    <row r="1123" customFormat="false" ht="15" hidden="false" customHeight="false" outlineLevel="0" collapsed="false">
      <c r="A1123" s="0" t="s">
        <v>1368</v>
      </c>
      <c r="B1123" s="0" t="n">
        <v>5</v>
      </c>
      <c r="C1123" s="0" t="str">
        <f aca="false">MID(A1123,4,3)</f>
        <v>WOL</v>
      </c>
      <c r="D1123" s="0" t="str">
        <f aca="false">LEFT(A1123,18)</f>
        <v>PX-WOL-4A-5654-000</v>
      </c>
      <c r="E1123" s="0" t="str">
        <f aca="false">RIGHT(A1123,1)</f>
        <v>C</v>
      </c>
      <c r="F1123" s="0" t="s">
        <v>782</v>
      </c>
      <c r="G1123" s="0" t="str">
        <f aca="false">MID(D1123,8,1)</f>
        <v>4</v>
      </c>
      <c r="H1123" s="0" t="n">
        <v>1</v>
      </c>
    </row>
    <row r="1124" customFormat="false" ht="15" hidden="false" customHeight="false" outlineLevel="0" collapsed="false">
      <c r="A1124" s="0" t="s">
        <v>1369</v>
      </c>
      <c r="B1124" s="0" t="n">
        <v>5</v>
      </c>
      <c r="C1124" s="0" t="str">
        <f aca="false">MID(A1124,4,3)</f>
        <v>WOL</v>
      </c>
      <c r="D1124" s="0" t="str">
        <f aca="false">LEFT(A1124,18)</f>
        <v>PX-WOL-4A-5654-000</v>
      </c>
      <c r="E1124" s="0" t="str">
        <f aca="false">RIGHT(A1124,1)</f>
        <v>D</v>
      </c>
      <c r="F1124" s="0" t="s">
        <v>782</v>
      </c>
      <c r="G1124" s="0" t="str">
        <f aca="false">MID(D1124,8,1)</f>
        <v>4</v>
      </c>
      <c r="H1124" s="0" t="n">
        <v>1</v>
      </c>
    </row>
    <row r="1125" customFormat="false" ht="15" hidden="false" customHeight="false" outlineLevel="0" collapsed="false">
      <c r="A1125" s="0" t="s">
        <v>1370</v>
      </c>
      <c r="B1125" s="0" t="n">
        <v>5</v>
      </c>
      <c r="C1125" s="0" t="str">
        <f aca="false">MID(A1125,4,3)</f>
        <v>WOL</v>
      </c>
      <c r="D1125" s="0" t="str">
        <f aca="false">LEFT(A1125,18)</f>
        <v>PX-WOL-4A-5654-000</v>
      </c>
      <c r="E1125" s="0" t="str">
        <f aca="false">RIGHT(A1125,1)</f>
        <v>E</v>
      </c>
      <c r="F1125" s="0" t="s">
        <v>782</v>
      </c>
      <c r="G1125" s="0" t="str">
        <f aca="false">MID(D1125,8,1)</f>
        <v>4</v>
      </c>
      <c r="H1125" s="0" t="n">
        <v>1</v>
      </c>
    </row>
    <row r="1126" customFormat="false" ht="15" hidden="false" customHeight="false" outlineLevel="0" collapsed="false">
      <c r="A1126" s="0" t="s">
        <v>1371</v>
      </c>
      <c r="B1126" s="0" t="n">
        <v>5</v>
      </c>
      <c r="C1126" s="0" t="str">
        <f aca="false">MID(A1126,4,3)</f>
        <v>WOL</v>
      </c>
      <c r="D1126" s="0" t="str">
        <f aca="false">LEFT(A1126,18)</f>
        <v>PX-WOL-4A-5654-050</v>
      </c>
      <c r="E1126" s="0" t="str">
        <f aca="false">RIGHT(A1126,1)</f>
        <v>A</v>
      </c>
      <c r="F1126" s="0" t="s">
        <v>782</v>
      </c>
      <c r="G1126" s="0" t="str">
        <f aca="false">MID(D1126,8,1)</f>
        <v>4</v>
      </c>
      <c r="H1126" s="0" t="n">
        <v>1</v>
      </c>
    </row>
    <row r="1127" customFormat="false" ht="15" hidden="false" customHeight="true" outlineLevel="0" collapsed="false">
      <c r="A1127" s="0" t="s">
        <v>1372</v>
      </c>
      <c r="B1127" s="0" t="n">
        <v>5</v>
      </c>
      <c r="C1127" s="0" t="str">
        <f aca="false">MID(A1127,4,3)</f>
        <v>WOL</v>
      </c>
      <c r="D1127" s="0" t="str">
        <f aca="false">LEFT(A1127,18)</f>
        <v>PX-WOL-4A-5654-050</v>
      </c>
      <c r="E1127" s="0" t="str">
        <f aca="false">RIGHT(A1127,1)</f>
        <v>B</v>
      </c>
      <c r="F1127" s="0" t="s">
        <v>782</v>
      </c>
      <c r="G1127" s="0" t="str">
        <f aca="false">MID(D1127,8,1)</f>
        <v>4</v>
      </c>
      <c r="H1127" s="0" t="n">
        <v>1</v>
      </c>
    </row>
    <row r="1128" customFormat="false" ht="15" hidden="false" customHeight="true" outlineLevel="0" collapsed="false">
      <c r="A1128" s="0" t="s">
        <v>1373</v>
      </c>
      <c r="B1128" s="0" t="n">
        <v>5</v>
      </c>
      <c r="C1128" s="0" t="str">
        <f aca="false">MID(A1128,4,3)</f>
        <v>WOL</v>
      </c>
      <c r="D1128" s="0" t="str">
        <f aca="false">LEFT(A1128,18)</f>
        <v>PX-WOL-4A-5654-050</v>
      </c>
      <c r="E1128" s="0" t="str">
        <f aca="false">RIGHT(A1128,1)</f>
        <v>C</v>
      </c>
      <c r="F1128" s="0" t="s">
        <v>782</v>
      </c>
      <c r="G1128" s="0" t="str">
        <f aca="false">MID(D1128,8,1)</f>
        <v>4</v>
      </c>
      <c r="H1128" s="0" t="n">
        <v>1</v>
      </c>
    </row>
    <row r="1129" customFormat="false" ht="15" hidden="false" customHeight="true" outlineLevel="0" collapsed="false">
      <c r="A1129" s="0" t="s">
        <v>1374</v>
      </c>
      <c r="B1129" s="0" t="n">
        <v>5</v>
      </c>
      <c r="C1129" s="0" t="str">
        <f aca="false">MID(A1129,4,3)</f>
        <v>WOL</v>
      </c>
      <c r="D1129" s="0" t="str">
        <f aca="false">LEFT(A1129,18)</f>
        <v>PX-WOL-4A-5654-050</v>
      </c>
      <c r="E1129" s="0" t="str">
        <f aca="false">RIGHT(A1129,1)</f>
        <v>D</v>
      </c>
      <c r="F1129" s="0" t="s">
        <v>782</v>
      </c>
      <c r="G1129" s="0" t="str">
        <f aca="false">MID(D1129,8,1)</f>
        <v>4</v>
      </c>
      <c r="H1129" s="0" t="n">
        <v>1</v>
      </c>
    </row>
    <row r="1130" customFormat="false" ht="15" hidden="false" customHeight="true" outlineLevel="0" collapsed="false">
      <c r="A1130" s="0" t="s">
        <v>1375</v>
      </c>
      <c r="B1130" s="0" t="n">
        <v>5</v>
      </c>
      <c r="C1130" s="0" t="str">
        <f aca="false">MID(A1130,4,3)</f>
        <v>WOL</v>
      </c>
      <c r="D1130" s="0" t="str">
        <f aca="false">LEFT(A1130,18)</f>
        <v>PX-WOL-4A-5654-050</v>
      </c>
      <c r="E1130" s="0" t="str">
        <f aca="false">RIGHT(A1130,1)</f>
        <v>E</v>
      </c>
      <c r="F1130" s="0" t="s">
        <v>782</v>
      </c>
      <c r="G1130" s="0" t="str">
        <f aca="false">MID(D1130,8,1)</f>
        <v>4</v>
      </c>
      <c r="H1130" s="0" t="n">
        <v>1</v>
      </c>
    </row>
    <row r="1131" customFormat="false" ht="15" hidden="false" customHeight="true" outlineLevel="0" collapsed="false">
      <c r="A1131" s="0" t="s">
        <v>1376</v>
      </c>
      <c r="B1131" s="0" t="n">
        <v>5</v>
      </c>
      <c r="C1131" s="0" t="str">
        <f aca="false">MID(A1131,4,3)</f>
        <v>WOL</v>
      </c>
      <c r="D1131" s="0" t="str">
        <f aca="false">LEFT(A1131,18)</f>
        <v>PX-WOL-4A-5654-100</v>
      </c>
      <c r="E1131" s="0" t="str">
        <f aca="false">RIGHT(A1131,1)</f>
        <v>A</v>
      </c>
      <c r="F1131" s="0" t="s">
        <v>782</v>
      </c>
      <c r="G1131" s="0" t="str">
        <f aca="false">MID(D1131,8,1)</f>
        <v>4</v>
      </c>
      <c r="H1131" s="0" t="n">
        <v>1</v>
      </c>
    </row>
    <row r="1132" customFormat="false" ht="15" hidden="false" customHeight="true" outlineLevel="0" collapsed="false">
      <c r="A1132" s="0" t="s">
        <v>1377</v>
      </c>
      <c r="B1132" s="0" t="n">
        <v>5</v>
      </c>
      <c r="C1132" s="0" t="str">
        <f aca="false">MID(A1132,4,3)</f>
        <v>WOL</v>
      </c>
      <c r="D1132" s="0" t="str">
        <f aca="false">LEFT(A1132,18)</f>
        <v>PX-WOL-4A-5654-100</v>
      </c>
      <c r="E1132" s="0" t="str">
        <f aca="false">RIGHT(A1132,1)</f>
        <v>B</v>
      </c>
      <c r="F1132" s="0" t="s">
        <v>782</v>
      </c>
      <c r="G1132" s="0" t="str">
        <f aca="false">MID(D1132,8,1)</f>
        <v>4</v>
      </c>
      <c r="H1132" s="0" t="n">
        <v>1</v>
      </c>
    </row>
    <row r="1133" customFormat="false" ht="15" hidden="false" customHeight="true" outlineLevel="0" collapsed="false">
      <c r="A1133" s="0" t="s">
        <v>1378</v>
      </c>
      <c r="B1133" s="0" t="n">
        <v>5</v>
      </c>
      <c r="C1133" s="0" t="str">
        <f aca="false">MID(A1133,4,3)</f>
        <v>WOL</v>
      </c>
      <c r="D1133" s="0" t="str">
        <f aca="false">LEFT(A1133,18)</f>
        <v>PX-WOL-4A-5654-100</v>
      </c>
      <c r="E1133" s="0" t="str">
        <f aca="false">RIGHT(A1133,1)</f>
        <v>C</v>
      </c>
      <c r="F1133" s="0" t="s">
        <v>782</v>
      </c>
      <c r="G1133" s="0" t="str">
        <f aca="false">MID(D1133,8,1)</f>
        <v>4</v>
      </c>
      <c r="H1133" s="0" t="n">
        <v>1</v>
      </c>
    </row>
    <row r="1134" customFormat="false" ht="15" hidden="false" customHeight="true" outlineLevel="0" collapsed="false">
      <c r="A1134" s="0" t="s">
        <v>1379</v>
      </c>
      <c r="B1134" s="0" t="n">
        <v>5</v>
      </c>
      <c r="C1134" s="0" t="str">
        <f aca="false">MID(A1134,4,3)</f>
        <v>WOL</v>
      </c>
      <c r="D1134" s="0" t="str">
        <f aca="false">LEFT(A1134,18)</f>
        <v>PX-WOL-4A-5654-100</v>
      </c>
      <c r="E1134" s="0" t="str">
        <f aca="false">RIGHT(A1134,1)</f>
        <v>D</v>
      </c>
      <c r="F1134" s="0" t="s">
        <v>782</v>
      </c>
      <c r="G1134" s="0" t="str">
        <f aca="false">MID(D1134,8,1)</f>
        <v>4</v>
      </c>
      <c r="H1134" s="0" t="n">
        <v>1</v>
      </c>
    </row>
    <row r="1135" customFormat="false" ht="15" hidden="false" customHeight="true" outlineLevel="0" collapsed="false">
      <c r="A1135" s="0" t="s">
        <v>1380</v>
      </c>
      <c r="B1135" s="0" t="n">
        <v>5</v>
      </c>
      <c r="C1135" s="0" t="str">
        <f aca="false">MID(A1135,4,3)</f>
        <v>WOL</v>
      </c>
      <c r="D1135" s="0" t="str">
        <f aca="false">LEFT(A1135,18)</f>
        <v>PX-WOL-4A-5654-100</v>
      </c>
      <c r="E1135" s="0" t="str">
        <f aca="false">RIGHT(A1135,1)</f>
        <v>E</v>
      </c>
      <c r="F1135" s="0" t="s">
        <v>782</v>
      </c>
      <c r="G1135" s="0" t="str">
        <f aca="false">MID(D1135,8,1)</f>
        <v>4</v>
      </c>
      <c r="H1135" s="0" t="n">
        <v>1</v>
      </c>
    </row>
    <row r="1136" customFormat="false" ht="15" hidden="false" customHeight="true" outlineLevel="0" collapsed="false">
      <c r="A1136" s="0" t="s">
        <v>1381</v>
      </c>
      <c r="B1136" s="0" t="n">
        <v>5</v>
      </c>
      <c r="C1136" s="0" t="str">
        <f aca="false">MID(A1136,4,3)</f>
        <v>WOL</v>
      </c>
      <c r="D1136" s="0" t="str">
        <f aca="false">LEFT(A1136,18)</f>
        <v>PX-WOL-4A-5655-000</v>
      </c>
      <c r="E1136" s="0" t="str">
        <f aca="false">RIGHT(A1136,1)</f>
        <v>A</v>
      </c>
      <c r="F1136" s="0" t="s">
        <v>782</v>
      </c>
      <c r="G1136" s="0" t="str">
        <f aca="false">MID(D1136,8,1)</f>
        <v>4</v>
      </c>
      <c r="H1136" s="0" t="n">
        <v>1</v>
      </c>
    </row>
    <row r="1137" customFormat="false" ht="15" hidden="false" customHeight="true" outlineLevel="0" collapsed="false">
      <c r="A1137" s="0" t="s">
        <v>1382</v>
      </c>
      <c r="B1137" s="0" t="n">
        <v>5</v>
      </c>
      <c r="C1137" s="0" t="str">
        <f aca="false">MID(A1137,4,3)</f>
        <v>WOL</v>
      </c>
      <c r="D1137" s="0" t="str">
        <f aca="false">LEFT(A1137,18)</f>
        <v>PX-WOL-4A-5655-000</v>
      </c>
      <c r="E1137" s="0" t="str">
        <f aca="false">RIGHT(A1137,1)</f>
        <v>B</v>
      </c>
      <c r="F1137" s="0" t="s">
        <v>782</v>
      </c>
      <c r="G1137" s="0" t="str">
        <f aca="false">MID(D1137,8,1)</f>
        <v>4</v>
      </c>
      <c r="H1137" s="0" t="n">
        <v>1</v>
      </c>
    </row>
    <row r="1138" customFormat="false" ht="15" hidden="false" customHeight="true" outlineLevel="0" collapsed="false">
      <c r="A1138" s="0" t="s">
        <v>1383</v>
      </c>
      <c r="B1138" s="0" t="n">
        <v>5</v>
      </c>
      <c r="C1138" s="0" t="str">
        <f aca="false">MID(A1138,4,3)</f>
        <v>WOL</v>
      </c>
      <c r="D1138" s="0" t="str">
        <f aca="false">LEFT(A1138,18)</f>
        <v>PX-WOL-4A-5655-000</v>
      </c>
      <c r="E1138" s="0" t="str">
        <f aca="false">RIGHT(A1138,1)</f>
        <v>C</v>
      </c>
      <c r="F1138" s="0" t="s">
        <v>782</v>
      </c>
      <c r="G1138" s="0" t="str">
        <f aca="false">MID(D1138,8,1)</f>
        <v>4</v>
      </c>
      <c r="H1138" s="0" t="n">
        <v>1</v>
      </c>
    </row>
    <row r="1139" customFormat="false" ht="15" hidden="false" customHeight="true" outlineLevel="0" collapsed="false">
      <c r="A1139" s="0" t="s">
        <v>1384</v>
      </c>
      <c r="B1139" s="0" t="n">
        <v>5</v>
      </c>
      <c r="C1139" s="0" t="str">
        <f aca="false">MID(A1139,4,3)</f>
        <v>WOL</v>
      </c>
      <c r="D1139" s="0" t="str">
        <f aca="false">LEFT(A1139,18)</f>
        <v>PX-WOL-4A-5655-000</v>
      </c>
      <c r="E1139" s="0" t="str">
        <f aca="false">RIGHT(A1139,1)</f>
        <v>D</v>
      </c>
      <c r="F1139" s="0" t="s">
        <v>782</v>
      </c>
      <c r="G1139" s="0" t="str">
        <f aca="false">MID(D1139,8,1)</f>
        <v>4</v>
      </c>
      <c r="H1139" s="0" t="n">
        <v>1</v>
      </c>
    </row>
    <row r="1140" customFormat="false" ht="15" hidden="false" customHeight="true" outlineLevel="0" collapsed="false">
      <c r="A1140" s="0" t="s">
        <v>1385</v>
      </c>
      <c r="B1140" s="0" t="n">
        <v>5</v>
      </c>
      <c r="C1140" s="0" t="str">
        <f aca="false">MID(A1140,4,3)</f>
        <v>WOL</v>
      </c>
      <c r="D1140" s="0" t="str">
        <f aca="false">LEFT(A1140,18)</f>
        <v>PX-WOL-4A-5655-000</v>
      </c>
      <c r="E1140" s="0" t="str">
        <f aca="false">RIGHT(A1140,1)</f>
        <v>E</v>
      </c>
      <c r="F1140" s="0" t="s">
        <v>782</v>
      </c>
      <c r="G1140" s="0" t="str">
        <f aca="false">MID(D1140,8,1)</f>
        <v>4</v>
      </c>
      <c r="H1140" s="0" t="n">
        <v>1</v>
      </c>
    </row>
    <row r="1141" customFormat="false" ht="15" hidden="false" customHeight="true" outlineLevel="0" collapsed="false">
      <c r="A1141" s="0" t="s">
        <v>1386</v>
      </c>
      <c r="B1141" s="0" t="n">
        <v>5</v>
      </c>
      <c r="C1141" s="0" t="str">
        <f aca="false">MID(A1141,4,3)</f>
        <v>WOL</v>
      </c>
      <c r="D1141" s="0" t="str">
        <f aca="false">LEFT(A1141,18)</f>
        <v>PX-WOL-4A-5655-050</v>
      </c>
      <c r="E1141" s="0" t="str">
        <f aca="false">RIGHT(A1141,1)</f>
        <v>A</v>
      </c>
      <c r="F1141" s="0" t="s">
        <v>782</v>
      </c>
      <c r="G1141" s="0" t="str">
        <f aca="false">MID(D1141,8,1)</f>
        <v>4</v>
      </c>
      <c r="H1141" s="0" t="n">
        <v>1</v>
      </c>
    </row>
    <row r="1142" customFormat="false" ht="15" hidden="false" customHeight="true" outlineLevel="0" collapsed="false">
      <c r="A1142" s="0" t="s">
        <v>1387</v>
      </c>
      <c r="B1142" s="0" t="n">
        <v>5</v>
      </c>
      <c r="C1142" s="0" t="str">
        <f aca="false">MID(A1142,4,3)</f>
        <v>WOL</v>
      </c>
      <c r="D1142" s="0" t="str">
        <f aca="false">LEFT(A1142,18)</f>
        <v>PX-WOL-4A-5655-050</v>
      </c>
      <c r="E1142" s="0" t="str">
        <f aca="false">RIGHT(A1142,1)</f>
        <v>B</v>
      </c>
      <c r="F1142" s="0" t="s">
        <v>782</v>
      </c>
      <c r="G1142" s="0" t="str">
        <f aca="false">MID(D1142,8,1)</f>
        <v>4</v>
      </c>
      <c r="H1142" s="0" t="n">
        <v>1</v>
      </c>
    </row>
    <row r="1143" customFormat="false" ht="15" hidden="false" customHeight="true" outlineLevel="0" collapsed="false">
      <c r="A1143" s="0" t="s">
        <v>1388</v>
      </c>
      <c r="B1143" s="0" t="n">
        <v>5</v>
      </c>
      <c r="C1143" s="0" t="str">
        <f aca="false">MID(A1143,4,3)</f>
        <v>WOL</v>
      </c>
      <c r="D1143" s="0" t="str">
        <f aca="false">LEFT(A1143,18)</f>
        <v>PX-WOL-4A-5655-050</v>
      </c>
      <c r="E1143" s="0" t="str">
        <f aca="false">RIGHT(A1143,1)</f>
        <v>C</v>
      </c>
      <c r="F1143" s="0" t="s">
        <v>782</v>
      </c>
      <c r="G1143" s="0" t="str">
        <f aca="false">MID(D1143,8,1)</f>
        <v>4</v>
      </c>
      <c r="H1143" s="0" t="n">
        <v>1</v>
      </c>
    </row>
    <row r="1144" customFormat="false" ht="15" hidden="false" customHeight="true" outlineLevel="0" collapsed="false">
      <c r="A1144" s="0" t="s">
        <v>1389</v>
      </c>
      <c r="B1144" s="0" t="n">
        <v>5</v>
      </c>
      <c r="C1144" s="0" t="str">
        <f aca="false">MID(A1144,4,3)</f>
        <v>WOL</v>
      </c>
      <c r="D1144" s="0" t="str">
        <f aca="false">LEFT(A1144,18)</f>
        <v>PX-WOL-4A-5655-050</v>
      </c>
      <c r="E1144" s="0" t="str">
        <f aca="false">RIGHT(A1144,1)</f>
        <v>D</v>
      </c>
      <c r="F1144" s="0" t="s">
        <v>782</v>
      </c>
      <c r="G1144" s="0" t="str">
        <f aca="false">MID(D1144,8,1)</f>
        <v>4</v>
      </c>
      <c r="H1144" s="0" t="n">
        <v>1</v>
      </c>
    </row>
    <row r="1145" customFormat="false" ht="15" hidden="false" customHeight="true" outlineLevel="0" collapsed="false">
      <c r="A1145" s="0" t="s">
        <v>1390</v>
      </c>
      <c r="B1145" s="0" t="n">
        <v>5</v>
      </c>
      <c r="C1145" s="0" t="str">
        <f aca="false">MID(A1145,4,3)</f>
        <v>WOL</v>
      </c>
      <c r="D1145" s="0" t="str">
        <f aca="false">LEFT(A1145,18)</f>
        <v>PX-WOL-4A-5655-050</v>
      </c>
      <c r="E1145" s="0" t="str">
        <f aca="false">RIGHT(A1145,1)</f>
        <v>E</v>
      </c>
      <c r="F1145" s="0" t="s">
        <v>782</v>
      </c>
      <c r="G1145" s="0" t="str">
        <f aca="false">MID(D1145,8,1)</f>
        <v>4</v>
      </c>
      <c r="H1145" s="0" t="n">
        <v>1</v>
      </c>
    </row>
    <row r="1146" customFormat="false" ht="15" hidden="false" customHeight="true" outlineLevel="0" collapsed="false">
      <c r="A1146" s="0" t="s">
        <v>1391</v>
      </c>
      <c r="B1146" s="0" t="n">
        <v>5</v>
      </c>
      <c r="C1146" s="0" t="str">
        <f aca="false">MID(A1146,4,3)</f>
        <v>WOL</v>
      </c>
      <c r="D1146" s="0" t="str">
        <f aca="false">LEFT(A1146,18)</f>
        <v>PX-WOL-4A-5655-100</v>
      </c>
      <c r="E1146" s="0" t="str">
        <f aca="false">RIGHT(A1146,1)</f>
        <v>A</v>
      </c>
      <c r="F1146" s="0" t="s">
        <v>782</v>
      </c>
      <c r="G1146" s="0" t="str">
        <f aca="false">MID(D1146,8,1)</f>
        <v>4</v>
      </c>
      <c r="H1146" s="0" t="n">
        <v>1</v>
      </c>
    </row>
    <row r="1147" customFormat="false" ht="15" hidden="false" customHeight="true" outlineLevel="0" collapsed="false">
      <c r="A1147" s="0" t="s">
        <v>1392</v>
      </c>
      <c r="B1147" s="0" t="n">
        <v>5</v>
      </c>
      <c r="C1147" s="0" t="str">
        <f aca="false">MID(A1147,4,3)</f>
        <v>WOL</v>
      </c>
      <c r="D1147" s="0" t="str">
        <f aca="false">LEFT(A1147,18)</f>
        <v>PX-WOL-4A-5655-100</v>
      </c>
      <c r="E1147" s="0" t="str">
        <f aca="false">RIGHT(A1147,1)</f>
        <v>B</v>
      </c>
      <c r="F1147" s="0" t="s">
        <v>782</v>
      </c>
      <c r="G1147" s="0" t="str">
        <f aca="false">MID(D1147,8,1)</f>
        <v>4</v>
      </c>
      <c r="H1147" s="0" t="n">
        <v>1</v>
      </c>
    </row>
    <row r="1148" customFormat="false" ht="15" hidden="false" customHeight="true" outlineLevel="0" collapsed="false">
      <c r="A1148" s="0" t="s">
        <v>1393</v>
      </c>
      <c r="B1148" s="0" t="n">
        <v>5</v>
      </c>
      <c r="C1148" s="0" t="str">
        <f aca="false">MID(A1148,4,3)</f>
        <v>WOL</v>
      </c>
      <c r="D1148" s="0" t="str">
        <f aca="false">LEFT(A1148,18)</f>
        <v>PX-WOL-4A-5655-100</v>
      </c>
      <c r="E1148" s="0" t="str">
        <f aca="false">RIGHT(A1148,1)</f>
        <v>C</v>
      </c>
      <c r="F1148" s="0" t="s">
        <v>782</v>
      </c>
      <c r="G1148" s="0" t="str">
        <f aca="false">MID(D1148,8,1)</f>
        <v>4</v>
      </c>
      <c r="H1148" s="0" t="n">
        <v>1</v>
      </c>
    </row>
    <row r="1149" customFormat="false" ht="15" hidden="false" customHeight="true" outlineLevel="0" collapsed="false">
      <c r="A1149" s="0" t="s">
        <v>1394</v>
      </c>
      <c r="B1149" s="0" t="n">
        <v>5</v>
      </c>
      <c r="C1149" s="0" t="str">
        <f aca="false">MID(A1149,4,3)</f>
        <v>WOL</v>
      </c>
      <c r="D1149" s="0" t="str">
        <f aca="false">LEFT(A1149,18)</f>
        <v>PX-WOL-4A-5655-100</v>
      </c>
      <c r="E1149" s="0" t="str">
        <f aca="false">RIGHT(A1149,1)</f>
        <v>D</v>
      </c>
      <c r="F1149" s="0" t="s">
        <v>782</v>
      </c>
      <c r="G1149" s="0" t="str">
        <f aca="false">MID(D1149,8,1)</f>
        <v>4</v>
      </c>
      <c r="H1149" s="0" t="n">
        <v>1</v>
      </c>
    </row>
    <row r="1150" customFormat="false" ht="15" hidden="false" customHeight="true" outlineLevel="0" collapsed="false">
      <c r="A1150" s="0" t="s">
        <v>1395</v>
      </c>
      <c r="B1150" s="0" t="n">
        <v>5</v>
      </c>
      <c r="C1150" s="0" t="str">
        <f aca="false">MID(A1150,4,3)</f>
        <v>WOL</v>
      </c>
      <c r="D1150" s="0" t="str">
        <f aca="false">LEFT(A1150,18)</f>
        <v>PX-WOL-4A-5655-100</v>
      </c>
      <c r="E1150" s="0" t="str">
        <f aca="false">RIGHT(A1150,1)</f>
        <v>E</v>
      </c>
      <c r="F1150" s="0" t="s">
        <v>782</v>
      </c>
      <c r="G1150" s="0" t="str">
        <f aca="false">MID(D1150,8,1)</f>
        <v>4</v>
      </c>
      <c r="H1150" s="0" t="n">
        <v>1</v>
      </c>
    </row>
    <row r="1151" customFormat="false" ht="15" hidden="false" customHeight="true" outlineLevel="0" collapsed="false">
      <c r="A1151" s="0" t="s">
        <v>1396</v>
      </c>
      <c r="B1151" s="0" t="n">
        <v>5</v>
      </c>
      <c r="C1151" s="0" t="str">
        <f aca="false">MID(A1151,4,3)</f>
        <v>WOL</v>
      </c>
      <c r="D1151" s="0" t="str">
        <f aca="false">A1151</f>
        <v>PX-WOL-4A-5656-000</v>
      </c>
      <c r="E1151" s="0" t="str">
        <f aca="false">RIGHT(A1151,3)</f>
        <v>000</v>
      </c>
      <c r="F1151" s="0" t="s">
        <v>782</v>
      </c>
      <c r="G1151" s="0" t="str">
        <f aca="false">MID(D1151,8,1)</f>
        <v>4</v>
      </c>
      <c r="H1151" s="0" t="n">
        <v>1</v>
      </c>
    </row>
    <row r="1152" customFormat="false" ht="15" hidden="false" customHeight="true" outlineLevel="0" collapsed="false">
      <c r="A1152" s="0" t="s">
        <v>1397</v>
      </c>
      <c r="B1152" s="0" t="n">
        <v>5</v>
      </c>
      <c r="C1152" s="0" t="str">
        <f aca="false">MID(A1152,4,3)</f>
        <v>WOL</v>
      </c>
      <c r="D1152" s="0" t="str">
        <f aca="false">LEFT(A1152,18)</f>
        <v>PX-WOL-4A-5656-000</v>
      </c>
      <c r="E1152" s="0" t="str">
        <f aca="false">RIGHT(A1152,1)</f>
        <v>A</v>
      </c>
      <c r="F1152" s="0" t="s">
        <v>782</v>
      </c>
      <c r="G1152" s="0" t="str">
        <f aca="false">MID(D1152,8,1)</f>
        <v>4</v>
      </c>
      <c r="H1152" s="0" t="n">
        <v>1</v>
      </c>
    </row>
    <row r="1153" customFormat="false" ht="15" hidden="false" customHeight="true" outlineLevel="0" collapsed="false">
      <c r="A1153" s="0" t="s">
        <v>1398</v>
      </c>
      <c r="B1153" s="0" t="n">
        <v>5</v>
      </c>
      <c r="C1153" s="0" t="str">
        <f aca="false">MID(A1153,4,3)</f>
        <v>WOL</v>
      </c>
      <c r="D1153" s="0" t="str">
        <f aca="false">LEFT(A1153,18)</f>
        <v>PX-WOL-4A-5656-000</v>
      </c>
      <c r="E1153" s="0" t="str">
        <f aca="false">RIGHT(A1153,1)</f>
        <v>B</v>
      </c>
      <c r="F1153" s="0" t="s">
        <v>782</v>
      </c>
      <c r="G1153" s="0" t="str">
        <f aca="false">MID(D1153,8,1)</f>
        <v>4</v>
      </c>
      <c r="H1153" s="0" t="n">
        <v>1</v>
      </c>
    </row>
    <row r="1154" customFormat="false" ht="15" hidden="false" customHeight="true" outlineLevel="0" collapsed="false">
      <c r="A1154" s="0" t="s">
        <v>1399</v>
      </c>
      <c r="B1154" s="0" t="n">
        <v>5</v>
      </c>
      <c r="C1154" s="0" t="str">
        <f aca="false">MID(A1154,4,3)</f>
        <v>WOL</v>
      </c>
      <c r="D1154" s="0" t="str">
        <f aca="false">LEFT(A1154,18)</f>
        <v>PX-WOL-4A-5656-000</v>
      </c>
      <c r="E1154" s="0" t="str">
        <f aca="false">RIGHT(A1154,1)</f>
        <v>C</v>
      </c>
      <c r="F1154" s="0" t="s">
        <v>782</v>
      </c>
      <c r="G1154" s="0" t="str">
        <f aca="false">MID(D1154,8,1)</f>
        <v>4</v>
      </c>
      <c r="H1154" s="0" t="n">
        <v>1</v>
      </c>
    </row>
    <row r="1155" customFormat="false" ht="15" hidden="false" customHeight="true" outlineLevel="0" collapsed="false">
      <c r="A1155" s="0" t="s">
        <v>1400</v>
      </c>
      <c r="B1155" s="0" t="n">
        <v>5</v>
      </c>
      <c r="C1155" s="0" t="str">
        <f aca="false">MID(A1155,4,3)</f>
        <v>WOL</v>
      </c>
      <c r="D1155" s="0" t="str">
        <f aca="false">LEFT(A1155,18)</f>
        <v>PX-WOL-4A-5656-000</v>
      </c>
      <c r="E1155" s="0" t="str">
        <f aca="false">RIGHT(A1155,1)</f>
        <v>D</v>
      </c>
      <c r="F1155" s="0" t="s">
        <v>782</v>
      </c>
      <c r="G1155" s="0" t="str">
        <f aca="false">MID(D1155,8,1)</f>
        <v>4</v>
      </c>
      <c r="H1155" s="0" t="n">
        <v>1</v>
      </c>
    </row>
    <row r="1156" customFormat="false" ht="15" hidden="false" customHeight="true" outlineLevel="0" collapsed="false">
      <c r="A1156" s="0" t="s">
        <v>1401</v>
      </c>
      <c r="B1156" s="0" t="n">
        <v>5</v>
      </c>
      <c r="C1156" s="0" t="str">
        <f aca="false">MID(A1156,4,3)</f>
        <v>WOL</v>
      </c>
      <c r="D1156" s="0" t="str">
        <f aca="false">LEFT(A1156,18)</f>
        <v>PX-WOL-4A-5656-000</v>
      </c>
      <c r="E1156" s="0" t="str">
        <f aca="false">RIGHT(A1156,1)</f>
        <v>E</v>
      </c>
      <c r="F1156" s="0" t="s">
        <v>782</v>
      </c>
      <c r="G1156" s="0" t="str">
        <f aca="false">MID(D1156,8,1)</f>
        <v>4</v>
      </c>
      <c r="H1156" s="0" t="n">
        <v>1</v>
      </c>
    </row>
    <row r="1157" customFormat="false" ht="15" hidden="false" customHeight="true" outlineLevel="0" collapsed="false">
      <c r="A1157" s="0" t="s">
        <v>1402</v>
      </c>
      <c r="B1157" s="0" t="n">
        <v>5</v>
      </c>
      <c r="C1157" s="0" t="str">
        <f aca="false">MID(A1157,4,3)</f>
        <v>WOL</v>
      </c>
      <c r="D1157" s="0" t="str">
        <f aca="false">A1157</f>
        <v>PX-WOL-4A-5656-050</v>
      </c>
      <c r="E1157" s="0" t="str">
        <f aca="false">RIGHT(A1157,3)</f>
        <v>050</v>
      </c>
      <c r="F1157" s="0" t="s">
        <v>782</v>
      </c>
      <c r="G1157" s="0" t="str">
        <f aca="false">MID(D1157,8,1)</f>
        <v>4</v>
      </c>
      <c r="H1157" s="0" t="n">
        <v>1</v>
      </c>
    </row>
    <row r="1158" customFormat="false" ht="15" hidden="false" customHeight="true" outlineLevel="0" collapsed="false">
      <c r="A1158" s="0" t="s">
        <v>1403</v>
      </c>
      <c r="B1158" s="0" t="n">
        <v>5</v>
      </c>
      <c r="C1158" s="0" t="str">
        <f aca="false">MID(A1158,4,3)</f>
        <v>WOL</v>
      </c>
      <c r="D1158" s="0" t="str">
        <f aca="false">LEFT(A1158,18)</f>
        <v>PX-WOL-4A-5656-050</v>
      </c>
      <c r="E1158" s="0" t="str">
        <f aca="false">RIGHT(A1158,1)</f>
        <v>A</v>
      </c>
      <c r="F1158" s="0" t="s">
        <v>782</v>
      </c>
      <c r="G1158" s="0" t="str">
        <f aca="false">MID(D1158,8,1)</f>
        <v>4</v>
      </c>
      <c r="H1158" s="0" t="n">
        <v>1</v>
      </c>
    </row>
    <row r="1159" customFormat="false" ht="15" hidden="false" customHeight="true" outlineLevel="0" collapsed="false">
      <c r="A1159" s="0" t="s">
        <v>1404</v>
      </c>
      <c r="B1159" s="0" t="n">
        <v>5</v>
      </c>
      <c r="C1159" s="0" t="str">
        <f aca="false">MID(A1159,4,3)</f>
        <v>WOL</v>
      </c>
      <c r="D1159" s="0" t="str">
        <f aca="false">LEFT(A1159,18)</f>
        <v>PX-WOL-4A-5656-050</v>
      </c>
      <c r="E1159" s="0" t="str">
        <f aca="false">RIGHT(A1159,1)</f>
        <v>B</v>
      </c>
      <c r="F1159" s="0" t="s">
        <v>782</v>
      </c>
      <c r="G1159" s="0" t="str">
        <f aca="false">MID(D1159,8,1)</f>
        <v>4</v>
      </c>
      <c r="H1159" s="0" t="n">
        <v>1</v>
      </c>
    </row>
    <row r="1160" customFormat="false" ht="15" hidden="false" customHeight="true" outlineLevel="0" collapsed="false">
      <c r="A1160" s="0" t="s">
        <v>1405</v>
      </c>
      <c r="B1160" s="0" t="n">
        <v>5</v>
      </c>
      <c r="C1160" s="0" t="str">
        <f aca="false">MID(A1160,4,3)</f>
        <v>WOL</v>
      </c>
      <c r="D1160" s="0" t="str">
        <f aca="false">LEFT(A1160,18)</f>
        <v>PX-WOL-4A-5656-050</v>
      </c>
      <c r="E1160" s="0" t="str">
        <f aca="false">RIGHT(A1160,1)</f>
        <v>C</v>
      </c>
      <c r="F1160" s="0" t="s">
        <v>782</v>
      </c>
      <c r="G1160" s="0" t="str">
        <f aca="false">MID(D1160,8,1)</f>
        <v>4</v>
      </c>
      <c r="H1160" s="0" t="n">
        <v>1</v>
      </c>
    </row>
    <row r="1161" customFormat="false" ht="15" hidden="false" customHeight="true" outlineLevel="0" collapsed="false">
      <c r="A1161" s="0" t="s">
        <v>1406</v>
      </c>
      <c r="B1161" s="0" t="n">
        <v>5</v>
      </c>
      <c r="C1161" s="0" t="str">
        <f aca="false">MID(A1161,4,3)</f>
        <v>WOL</v>
      </c>
      <c r="D1161" s="0" t="str">
        <f aca="false">LEFT(A1161,18)</f>
        <v>PX-WOL-4A-5656-050</v>
      </c>
      <c r="E1161" s="0" t="str">
        <f aca="false">RIGHT(A1161,1)</f>
        <v>D</v>
      </c>
      <c r="F1161" s="0" t="s">
        <v>782</v>
      </c>
      <c r="G1161" s="0" t="str">
        <f aca="false">MID(D1161,8,1)</f>
        <v>4</v>
      </c>
      <c r="H1161" s="0" t="n">
        <v>1</v>
      </c>
    </row>
    <row r="1162" customFormat="false" ht="15" hidden="false" customHeight="true" outlineLevel="0" collapsed="false">
      <c r="A1162" s="0" t="s">
        <v>1407</v>
      </c>
      <c r="B1162" s="0" t="n">
        <v>5</v>
      </c>
      <c r="C1162" s="0" t="str">
        <f aca="false">MID(A1162,4,3)</f>
        <v>WOL</v>
      </c>
      <c r="D1162" s="0" t="str">
        <f aca="false">LEFT(A1162,18)</f>
        <v>PX-WOL-4A-5656-050</v>
      </c>
      <c r="E1162" s="0" t="str">
        <f aca="false">RIGHT(A1162,1)</f>
        <v>E</v>
      </c>
      <c r="F1162" s="0" t="s">
        <v>782</v>
      </c>
      <c r="G1162" s="0" t="str">
        <f aca="false">MID(D1162,8,1)</f>
        <v>4</v>
      </c>
      <c r="H1162" s="0" t="n">
        <v>1</v>
      </c>
    </row>
    <row r="1163" customFormat="false" ht="15" hidden="false" customHeight="true" outlineLevel="0" collapsed="false">
      <c r="A1163" s="0" t="s">
        <v>1408</v>
      </c>
      <c r="B1163" s="0" t="n">
        <v>5</v>
      </c>
      <c r="C1163" s="0" t="str">
        <f aca="false">MID(A1163,4,3)</f>
        <v>WOL</v>
      </c>
      <c r="D1163" s="0" t="str">
        <f aca="false">A1163</f>
        <v>PX-WOL-4A-5656-100</v>
      </c>
      <c r="E1163" s="0" t="str">
        <f aca="false">RIGHT(A1163,3)</f>
        <v>100</v>
      </c>
      <c r="F1163" s="0" t="s">
        <v>782</v>
      </c>
      <c r="G1163" s="0" t="str">
        <f aca="false">MID(D1163,8,1)</f>
        <v>4</v>
      </c>
      <c r="H1163" s="0" t="n">
        <v>1</v>
      </c>
    </row>
    <row r="1164" customFormat="false" ht="15" hidden="false" customHeight="true" outlineLevel="0" collapsed="false">
      <c r="A1164" s="0" t="s">
        <v>1409</v>
      </c>
      <c r="B1164" s="0" t="n">
        <v>5</v>
      </c>
      <c r="C1164" s="0" t="str">
        <f aca="false">MID(A1164,4,3)</f>
        <v>WOL</v>
      </c>
      <c r="D1164" s="0" t="str">
        <f aca="false">LEFT(A1164,18)</f>
        <v>PX-WOL-4A-5656-100</v>
      </c>
      <c r="E1164" s="0" t="str">
        <f aca="false">RIGHT(A1164,1)</f>
        <v>A</v>
      </c>
      <c r="F1164" s="0" t="s">
        <v>782</v>
      </c>
      <c r="G1164" s="0" t="str">
        <f aca="false">MID(D1164,8,1)</f>
        <v>4</v>
      </c>
      <c r="H1164" s="0" t="n">
        <v>1</v>
      </c>
    </row>
    <row r="1165" customFormat="false" ht="15" hidden="false" customHeight="true" outlineLevel="0" collapsed="false">
      <c r="A1165" s="0" t="s">
        <v>1410</v>
      </c>
      <c r="B1165" s="0" t="n">
        <v>5</v>
      </c>
      <c r="C1165" s="0" t="str">
        <f aca="false">MID(A1165,4,3)</f>
        <v>WOL</v>
      </c>
      <c r="D1165" s="0" t="str">
        <f aca="false">LEFT(A1165,18)</f>
        <v>PX-WOL-4A-5656-100</v>
      </c>
      <c r="E1165" s="0" t="str">
        <f aca="false">RIGHT(A1165,1)</f>
        <v>B</v>
      </c>
      <c r="F1165" s="0" t="s">
        <v>782</v>
      </c>
      <c r="G1165" s="0" t="str">
        <f aca="false">MID(D1165,8,1)</f>
        <v>4</v>
      </c>
      <c r="H1165" s="0" t="n">
        <v>1</v>
      </c>
    </row>
    <row r="1166" customFormat="false" ht="15" hidden="false" customHeight="true" outlineLevel="0" collapsed="false">
      <c r="A1166" s="0" t="s">
        <v>1411</v>
      </c>
      <c r="B1166" s="0" t="n">
        <v>5</v>
      </c>
      <c r="C1166" s="0" t="str">
        <f aca="false">MID(A1166,4,3)</f>
        <v>WOL</v>
      </c>
      <c r="D1166" s="0" t="str">
        <f aca="false">LEFT(A1166,18)</f>
        <v>PX-WOL-4A-5656-100</v>
      </c>
      <c r="E1166" s="0" t="str">
        <f aca="false">RIGHT(A1166,1)</f>
        <v>C</v>
      </c>
      <c r="F1166" s="0" t="s">
        <v>782</v>
      </c>
      <c r="G1166" s="0" t="str">
        <f aca="false">MID(D1166,8,1)</f>
        <v>4</v>
      </c>
      <c r="H1166" s="0" t="n">
        <v>1</v>
      </c>
    </row>
    <row r="1167" customFormat="false" ht="15" hidden="false" customHeight="true" outlineLevel="0" collapsed="false">
      <c r="A1167" s="0" t="s">
        <v>1412</v>
      </c>
      <c r="B1167" s="0" t="n">
        <v>5</v>
      </c>
      <c r="C1167" s="0" t="str">
        <f aca="false">MID(A1167,4,3)</f>
        <v>WOL</v>
      </c>
      <c r="D1167" s="0" t="str">
        <f aca="false">LEFT(A1167,18)</f>
        <v>PX-WOL-4A-5656-100</v>
      </c>
      <c r="E1167" s="0" t="str">
        <f aca="false">RIGHT(A1167,1)</f>
        <v>D</v>
      </c>
      <c r="F1167" s="0" t="s">
        <v>782</v>
      </c>
      <c r="G1167" s="0" t="str">
        <f aca="false">MID(D1167,8,1)</f>
        <v>4</v>
      </c>
      <c r="H1167" s="0" t="n">
        <v>1</v>
      </c>
    </row>
    <row r="1168" customFormat="false" ht="15" hidden="false" customHeight="true" outlineLevel="0" collapsed="false">
      <c r="A1168" s="0" t="s">
        <v>1413</v>
      </c>
      <c r="B1168" s="0" t="n">
        <v>5</v>
      </c>
      <c r="C1168" s="0" t="str">
        <f aca="false">MID(A1168,4,3)</f>
        <v>WOL</v>
      </c>
      <c r="D1168" s="0" t="str">
        <f aca="false">LEFT(A1168,18)</f>
        <v>PX-WOL-4A-5656-100</v>
      </c>
      <c r="E1168" s="0" t="str">
        <f aca="false">RIGHT(A1168,1)</f>
        <v>E</v>
      </c>
      <c r="F1168" s="0" t="s">
        <v>782</v>
      </c>
      <c r="G1168" s="0" t="str">
        <f aca="false">MID(D1168,8,1)</f>
        <v>4</v>
      </c>
      <c r="H1168" s="0" t="n">
        <v>1</v>
      </c>
    </row>
    <row r="1169" customFormat="false" ht="15" hidden="false" customHeight="true" outlineLevel="0" collapsed="false">
      <c r="A1169" s="0" t="s">
        <v>1414</v>
      </c>
      <c r="B1169" s="0" t="n">
        <v>5</v>
      </c>
      <c r="C1169" s="0" t="str">
        <f aca="false">MID(A1169,4,3)</f>
        <v>WOL</v>
      </c>
      <c r="D1169" s="0" t="str">
        <f aca="false">LEFT(A1169,18)</f>
        <v>PX-WOL-4A-5657-000</v>
      </c>
      <c r="E1169" s="0" t="str">
        <f aca="false">RIGHT(A1169,1)</f>
        <v>A</v>
      </c>
      <c r="F1169" s="0" t="s">
        <v>782</v>
      </c>
      <c r="G1169" s="0" t="str">
        <f aca="false">MID(D1169,8,1)</f>
        <v>4</v>
      </c>
      <c r="H1169" s="0" t="n">
        <v>1</v>
      </c>
    </row>
    <row r="1170" customFormat="false" ht="15" hidden="false" customHeight="true" outlineLevel="0" collapsed="false">
      <c r="A1170" s="0" t="s">
        <v>1415</v>
      </c>
      <c r="B1170" s="0" t="n">
        <v>5</v>
      </c>
      <c r="C1170" s="0" t="str">
        <f aca="false">MID(A1170,4,3)</f>
        <v>WOL</v>
      </c>
      <c r="D1170" s="0" t="str">
        <f aca="false">LEFT(A1170,18)</f>
        <v>PX-WOL-4A-5657-000</v>
      </c>
      <c r="E1170" s="0" t="str">
        <f aca="false">RIGHT(A1170,1)</f>
        <v>B</v>
      </c>
      <c r="F1170" s="0" t="s">
        <v>782</v>
      </c>
      <c r="G1170" s="0" t="str">
        <f aca="false">MID(D1170,8,1)</f>
        <v>4</v>
      </c>
      <c r="H1170" s="0" t="n">
        <v>1</v>
      </c>
    </row>
    <row r="1171" customFormat="false" ht="15" hidden="false" customHeight="true" outlineLevel="0" collapsed="false">
      <c r="A1171" s="0" t="s">
        <v>1416</v>
      </c>
      <c r="B1171" s="0" t="n">
        <v>5</v>
      </c>
      <c r="C1171" s="0" t="str">
        <f aca="false">MID(A1171,4,3)</f>
        <v>WOL</v>
      </c>
      <c r="D1171" s="0" t="str">
        <f aca="false">LEFT(A1171,18)</f>
        <v>PX-WOL-4A-5657-000</v>
      </c>
      <c r="E1171" s="0" t="str">
        <f aca="false">RIGHT(A1171,1)</f>
        <v>C</v>
      </c>
      <c r="F1171" s="0" t="s">
        <v>782</v>
      </c>
      <c r="G1171" s="0" t="str">
        <f aca="false">MID(D1171,8,1)</f>
        <v>4</v>
      </c>
      <c r="H1171" s="0" t="n">
        <v>1</v>
      </c>
    </row>
    <row r="1172" customFormat="false" ht="15" hidden="false" customHeight="true" outlineLevel="0" collapsed="false">
      <c r="A1172" s="0" t="s">
        <v>1417</v>
      </c>
      <c r="B1172" s="0" t="n">
        <v>5</v>
      </c>
      <c r="C1172" s="0" t="str">
        <f aca="false">MID(A1172,4,3)</f>
        <v>WOL</v>
      </c>
      <c r="D1172" s="0" t="str">
        <f aca="false">LEFT(A1172,18)</f>
        <v>PX-WOL-4A-5657-000</v>
      </c>
      <c r="E1172" s="0" t="str">
        <f aca="false">RIGHT(A1172,1)</f>
        <v>D</v>
      </c>
      <c r="F1172" s="0" t="s">
        <v>782</v>
      </c>
      <c r="G1172" s="0" t="str">
        <f aca="false">MID(D1172,8,1)</f>
        <v>4</v>
      </c>
      <c r="H1172" s="0" t="n">
        <v>1</v>
      </c>
    </row>
    <row r="1173" customFormat="false" ht="15" hidden="false" customHeight="true" outlineLevel="0" collapsed="false">
      <c r="A1173" s="0" t="s">
        <v>1418</v>
      </c>
      <c r="B1173" s="0" t="n">
        <v>5</v>
      </c>
      <c r="C1173" s="0" t="str">
        <f aca="false">MID(A1173,4,3)</f>
        <v>WOL</v>
      </c>
      <c r="D1173" s="0" t="str">
        <f aca="false">LEFT(A1173,18)</f>
        <v>PX-WOL-4A-5657-000</v>
      </c>
      <c r="E1173" s="0" t="str">
        <f aca="false">RIGHT(A1173,1)</f>
        <v>E</v>
      </c>
      <c r="F1173" s="0" t="s">
        <v>782</v>
      </c>
      <c r="G1173" s="0" t="str">
        <f aca="false">MID(D1173,8,1)</f>
        <v>4</v>
      </c>
      <c r="H1173" s="0" t="n">
        <v>1</v>
      </c>
    </row>
    <row r="1174" customFormat="false" ht="15" hidden="false" customHeight="true" outlineLevel="0" collapsed="false">
      <c r="A1174" s="0" t="s">
        <v>1419</v>
      </c>
      <c r="B1174" s="0" t="n">
        <v>5</v>
      </c>
      <c r="C1174" s="0" t="str">
        <f aca="false">MID(A1174,4,3)</f>
        <v>WOL</v>
      </c>
      <c r="D1174" s="0" t="str">
        <f aca="false">LEFT(A1174,18)</f>
        <v>PX-WOL-4A-5657-050</v>
      </c>
      <c r="E1174" s="0" t="str">
        <f aca="false">RIGHT(A1174,1)</f>
        <v>A</v>
      </c>
      <c r="F1174" s="0" t="s">
        <v>782</v>
      </c>
      <c r="G1174" s="0" t="str">
        <f aca="false">MID(D1174,8,1)</f>
        <v>4</v>
      </c>
      <c r="H1174" s="0" t="n">
        <v>1</v>
      </c>
    </row>
    <row r="1175" customFormat="false" ht="15" hidden="false" customHeight="false" outlineLevel="0" collapsed="false">
      <c r="A1175" s="1" t="s">
        <v>1420</v>
      </c>
      <c r="B1175" s="0" t="n">
        <v>5</v>
      </c>
      <c r="C1175" s="0" t="str">
        <f aca="false">MID(A1175,4,3)</f>
        <v>WOL</v>
      </c>
      <c r="D1175" s="0" t="str">
        <f aca="false">LEFT(A1175,18)</f>
        <v>PX-WOL-4A-5657-050</v>
      </c>
      <c r="E1175" s="0" t="str">
        <f aca="false">RIGHT(A1175,1)</f>
        <v>B</v>
      </c>
      <c r="F1175" s="0" t="s">
        <v>782</v>
      </c>
      <c r="G1175" s="0" t="str">
        <f aca="false">MID(D1175,8,1)</f>
        <v>4</v>
      </c>
      <c r="H1175" s="0" t="n">
        <v>1</v>
      </c>
    </row>
    <row r="1176" customFormat="false" ht="15" hidden="false" customHeight="false" outlineLevel="0" collapsed="false">
      <c r="A1176" s="0" t="s">
        <v>1421</v>
      </c>
      <c r="B1176" s="0" t="n">
        <v>5</v>
      </c>
      <c r="C1176" s="0" t="str">
        <f aca="false">MID(A1176,4,3)</f>
        <v>WOL</v>
      </c>
      <c r="D1176" s="0" t="str">
        <f aca="false">LEFT(A1176,18)</f>
        <v>PX-WOL-4A-5657-050</v>
      </c>
      <c r="E1176" s="0" t="str">
        <f aca="false">RIGHT(A1176,1)</f>
        <v>C</v>
      </c>
      <c r="F1176" s="0" t="s">
        <v>782</v>
      </c>
      <c r="G1176" s="0" t="str">
        <f aca="false">MID(D1176,8,1)</f>
        <v>4</v>
      </c>
      <c r="H1176" s="0" t="n">
        <v>1</v>
      </c>
    </row>
    <row r="1177" customFormat="false" ht="15" hidden="false" customHeight="false" outlineLevel="0" collapsed="false">
      <c r="A1177" s="0" t="s">
        <v>1422</v>
      </c>
      <c r="B1177" s="0" t="n">
        <v>5</v>
      </c>
      <c r="C1177" s="0" t="str">
        <f aca="false">MID(A1177,4,3)</f>
        <v>WOL</v>
      </c>
      <c r="D1177" s="0" t="str">
        <f aca="false">LEFT(A1177,18)</f>
        <v>PX-WOL-4A-5657-050</v>
      </c>
      <c r="E1177" s="0" t="str">
        <f aca="false">RIGHT(A1177,1)</f>
        <v>D</v>
      </c>
      <c r="F1177" s="0" t="s">
        <v>782</v>
      </c>
      <c r="G1177" s="0" t="str">
        <f aca="false">MID(D1177,8,1)</f>
        <v>4</v>
      </c>
      <c r="H1177" s="0" t="n">
        <v>1</v>
      </c>
    </row>
    <row r="1178" customFormat="false" ht="15" hidden="false" customHeight="false" outlineLevel="0" collapsed="false">
      <c r="A1178" s="0" t="s">
        <v>1423</v>
      </c>
      <c r="B1178" s="0" t="n">
        <v>5</v>
      </c>
      <c r="C1178" s="0" t="str">
        <f aca="false">MID(A1178,4,3)</f>
        <v>WOL</v>
      </c>
      <c r="D1178" s="0" t="str">
        <f aca="false">LEFT(A1178,18)</f>
        <v>PX-WOL-4A-5657-050</v>
      </c>
      <c r="E1178" s="0" t="str">
        <f aca="false">RIGHT(A1178,1)</f>
        <v>E</v>
      </c>
      <c r="F1178" s="0" t="s">
        <v>782</v>
      </c>
      <c r="G1178" s="0" t="str">
        <f aca="false">MID(D1178,8,1)</f>
        <v>4</v>
      </c>
      <c r="H1178" s="0" t="n">
        <v>1</v>
      </c>
    </row>
    <row r="1179" customFormat="false" ht="15" hidden="false" customHeight="false" outlineLevel="0" collapsed="false">
      <c r="A1179" s="1" t="s">
        <v>1424</v>
      </c>
      <c r="B1179" s="0" t="n">
        <v>5</v>
      </c>
      <c r="C1179" s="0" t="str">
        <f aca="false">MID(A1179,4,3)</f>
        <v>WOL</v>
      </c>
      <c r="D1179" s="0" t="str">
        <f aca="false">LEFT(A1179,18)</f>
        <v>PX-WOL-4A-5657-100</v>
      </c>
      <c r="E1179" s="0" t="str">
        <f aca="false">RIGHT(A1179,1)</f>
        <v>A</v>
      </c>
      <c r="F1179" s="0" t="s">
        <v>782</v>
      </c>
      <c r="G1179" s="0" t="str">
        <f aca="false">MID(D1179,8,1)</f>
        <v>4</v>
      </c>
      <c r="H1179" s="0" t="n">
        <v>1</v>
      </c>
    </row>
    <row r="1180" customFormat="false" ht="15" hidden="false" customHeight="false" outlineLevel="0" collapsed="false">
      <c r="A1180" s="1" t="s">
        <v>1425</v>
      </c>
      <c r="B1180" s="0" t="n">
        <v>5</v>
      </c>
      <c r="C1180" s="0" t="str">
        <f aca="false">MID(A1180,4,3)</f>
        <v>WOL</v>
      </c>
      <c r="D1180" s="0" t="str">
        <f aca="false">LEFT(A1180,18)</f>
        <v>PX-WOL-4A-5657-100</v>
      </c>
      <c r="E1180" s="0" t="str">
        <f aca="false">RIGHT(A1180,1)</f>
        <v>B</v>
      </c>
      <c r="F1180" s="0" t="s">
        <v>782</v>
      </c>
      <c r="G1180" s="0" t="str">
        <f aca="false">MID(D1180,8,1)</f>
        <v>4</v>
      </c>
      <c r="H1180" s="0" t="n">
        <v>1</v>
      </c>
    </row>
    <row r="1181" customFormat="false" ht="15" hidden="false" customHeight="false" outlineLevel="0" collapsed="false">
      <c r="A1181" s="1" t="s">
        <v>1426</v>
      </c>
      <c r="B1181" s="0" t="n">
        <v>5</v>
      </c>
      <c r="C1181" s="0" t="str">
        <f aca="false">MID(A1181,4,3)</f>
        <v>WOL</v>
      </c>
      <c r="D1181" s="0" t="str">
        <f aca="false">LEFT(A1181,18)</f>
        <v>PX-WOL-4A-5657-100</v>
      </c>
      <c r="E1181" s="0" t="str">
        <f aca="false">RIGHT(A1181,1)</f>
        <v>C</v>
      </c>
      <c r="F1181" s="0" t="s">
        <v>782</v>
      </c>
      <c r="G1181" s="0" t="str">
        <f aca="false">MID(D1181,8,1)</f>
        <v>4</v>
      </c>
      <c r="H1181" s="0" t="n">
        <v>1</v>
      </c>
    </row>
    <row r="1182" customFormat="false" ht="15" hidden="false" customHeight="false" outlineLevel="0" collapsed="false">
      <c r="A1182" s="1" t="s">
        <v>1427</v>
      </c>
      <c r="B1182" s="0" t="n">
        <v>5</v>
      </c>
      <c r="C1182" s="0" t="str">
        <f aca="false">MID(A1182,4,3)</f>
        <v>WOL</v>
      </c>
      <c r="D1182" s="0" t="str">
        <f aca="false">LEFT(A1182,18)</f>
        <v>PX-WOL-4A-5657-100</v>
      </c>
      <c r="E1182" s="0" t="str">
        <f aca="false">RIGHT(A1182,1)</f>
        <v>D</v>
      </c>
      <c r="F1182" s="0" t="s">
        <v>782</v>
      </c>
      <c r="G1182" s="0" t="str">
        <f aca="false">MID(D1182,8,1)</f>
        <v>4</v>
      </c>
      <c r="H1182" s="0" t="n">
        <v>1</v>
      </c>
    </row>
    <row r="1183" customFormat="false" ht="15" hidden="false" customHeight="false" outlineLevel="0" collapsed="false">
      <c r="A1183" s="1" t="s">
        <v>1428</v>
      </c>
      <c r="B1183" s="0" t="n">
        <v>5</v>
      </c>
      <c r="C1183" s="0" t="str">
        <f aca="false">MID(A1183,4,3)</f>
        <v>WOL</v>
      </c>
      <c r="D1183" s="0" t="str">
        <f aca="false">LEFT(A1183,18)</f>
        <v>PX-WOL-4A-5657-100</v>
      </c>
      <c r="E1183" s="0" t="str">
        <f aca="false">RIGHT(A1183,1)</f>
        <v>E</v>
      </c>
      <c r="F1183" s="0" t="s">
        <v>782</v>
      </c>
      <c r="G1183" s="0" t="str">
        <f aca="false">MID(D1183,8,1)</f>
        <v>4</v>
      </c>
      <c r="H1183" s="0" t="n">
        <v>1</v>
      </c>
    </row>
    <row r="1184" customFormat="false" ht="15" hidden="false" customHeight="false" outlineLevel="0" collapsed="false">
      <c r="A1184" s="1" t="s">
        <v>1429</v>
      </c>
      <c r="B1184" s="0" t="n">
        <v>5</v>
      </c>
      <c r="C1184" s="0" t="str">
        <f aca="false">MID(A1184,4,3)</f>
        <v>WOL</v>
      </c>
      <c r="D1184" s="0" t="str">
        <f aca="false">LEFT(A1184,18)</f>
        <v>PX-WOL-4A-5659-000</v>
      </c>
      <c r="E1184" s="0" t="str">
        <f aca="false">RIGHT(A1184,1)</f>
        <v>A</v>
      </c>
      <c r="F1184" s="0" t="s">
        <v>782</v>
      </c>
      <c r="G1184" s="0" t="str">
        <f aca="false">MID(D1184,8,1)</f>
        <v>4</v>
      </c>
      <c r="H1184" s="0" t="n">
        <v>1</v>
      </c>
    </row>
    <row r="1185" customFormat="false" ht="15" hidden="false" customHeight="false" outlineLevel="0" collapsed="false">
      <c r="A1185" s="1" t="s">
        <v>1430</v>
      </c>
      <c r="B1185" s="0" t="n">
        <v>5</v>
      </c>
      <c r="C1185" s="0" t="str">
        <f aca="false">MID(A1185,4,3)</f>
        <v>WOL</v>
      </c>
      <c r="D1185" s="0" t="str">
        <f aca="false">LEFT(A1185,18)</f>
        <v>PX-WOL-4A-5659-000</v>
      </c>
      <c r="E1185" s="0" t="str">
        <f aca="false">RIGHT(A1185,1)</f>
        <v>B</v>
      </c>
      <c r="F1185" s="0" t="s">
        <v>782</v>
      </c>
      <c r="G1185" s="0" t="str">
        <f aca="false">MID(D1185,8,1)</f>
        <v>4</v>
      </c>
      <c r="H1185" s="0" t="n">
        <v>1</v>
      </c>
    </row>
    <row r="1186" customFormat="false" ht="15" hidden="false" customHeight="false" outlineLevel="0" collapsed="false">
      <c r="A1186" s="1" t="s">
        <v>1431</v>
      </c>
      <c r="B1186" s="0" t="n">
        <v>5</v>
      </c>
      <c r="C1186" s="0" t="str">
        <f aca="false">MID(A1186,4,3)</f>
        <v>WOL</v>
      </c>
      <c r="D1186" s="0" t="str">
        <f aca="false">LEFT(A1186,18)</f>
        <v>PX-WOL-4A-5659-000</v>
      </c>
      <c r="E1186" s="0" t="str">
        <f aca="false">RIGHT(A1186,1)</f>
        <v>C</v>
      </c>
      <c r="F1186" s="0" t="s">
        <v>782</v>
      </c>
      <c r="G1186" s="0" t="str">
        <f aca="false">MID(D1186,8,1)</f>
        <v>4</v>
      </c>
      <c r="H1186" s="0" t="n">
        <v>1</v>
      </c>
    </row>
    <row r="1187" customFormat="false" ht="15" hidden="false" customHeight="false" outlineLevel="0" collapsed="false">
      <c r="A1187" s="1" t="s">
        <v>1432</v>
      </c>
      <c r="B1187" s="0" t="n">
        <v>5</v>
      </c>
      <c r="C1187" s="0" t="str">
        <f aca="false">MID(A1187,4,3)</f>
        <v>WOL</v>
      </c>
      <c r="D1187" s="0" t="str">
        <f aca="false">LEFT(A1187,18)</f>
        <v>PX-WOL-4A-5659-000</v>
      </c>
      <c r="E1187" s="0" t="str">
        <f aca="false">RIGHT(A1187,1)</f>
        <v>D</v>
      </c>
      <c r="F1187" s="0" t="s">
        <v>782</v>
      </c>
      <c r="G1187" s="0" t="str">
        <f aca="false">MID(D1187,8,1)</f>
        <v>4</v>
      </c>
      <c r="H1187" s="0" t="n">
        <v>1</v>
      </c>
    </row>
    <row r="1188" customFormat="false" ht="15" hidden="false" customHeight="false" outlineLevel="0" collapsed="false">
      <c r="A1188" s="1" t="s">
        <v>1433</v>
      </c>
      <c r="B1188" s="0" t="n">
        <v>5</v>
      </c>
      <c r="C1188" s="0" t="str">
        <f aca="false">MID(A1188,4,3)</f>
        <v>WOL</v>
      </c>
      <c r="D1188" s="0" t="str">
        <f aca="false">LEFT(A1188,18)</f>
        <v>PX-WOL-4A-5659-000</v>
      </c>
      <c r="E1188" s="0" t="str">
        <f aca="false">RIGHT(A1188,1)</f>
        <v>E</v>
      </c>
      <c r="F1188" s="0" t="s">
        <v>782</v>
      </c>
      <c r="G1188" s="0" t="str">
        <f aca="false">MID(D1188,8,1)</f>
        <v>4</v>
      </c>
      <c r="H1188" s="0" t="n">
        <v>1</v>
      </c>
    </row>
    <row r="1189" customFormat="false" ht="15" hidden="false" customHeight="true" outlineLevel="0" collapsed="false">
      <c r="A1189" s="0" t="s">
        <v>1434</v>
      </c>
      <c r="B1189" s="0" t="n">
        <v>5</v>
      </c>
      <c r="C1189" s="0" t="str">
        <f aca="false">MID(A1189,4,3)</f>
        <v>WOL</v>
      </c>
      <c r="D1189" s="0" t="str">
        <f aca="false">LEFT(A1189,18)</f>
        <v>PX-WOL-4A-5659-050</v>
      </c>
      <c r="E1189" s="0" t="str">
        <f aca="false">RIGHT(A1189,1)</f>
        <v>A</v>
      </c>
      <c r="F1189" s="0" t="s">
        <v>782</v>
      </c>
      <c r="G1189" s="0" t="str">
        <f aca="false">MID(D1189,8,1)</f>
        <v>4</v>
      </c>
      <c r="H1189" s="0" t="n">
        <v>1</v>
      </c>
    </row>
    <row r="1190" customFormat="false" ht="15" hidden="false" customHeight="true" outlineLevel="0" collapsed="false">
      <c r="A1190" s="0" t="s">
        <v>1435</v>
      </c>
      <c r="B1190" s="0" t="n">
        <v>5</v>
      </c>
      <c r="C1190" s="0" t="str">
        <f aca="false">MID(A1190,4,3)</f>
        <v>WOL</v>
      </c>
      <c r="D1190" s="0" t="str">
        <f aca="false">LEFT(A1190,18)</f>
        <v>PX-WOL-4A-5659-050</v>
      </c>
      <c r="E1190" s="0" t="str">
        <f aca="false">RIGHT(A1190,1)</f>
        <v>B</v>
      </c>
      <c r="F1190" s="0" t="s">
        <v>782</v>
      </c>
      <c r="G1190" s="0" t="str">
        <f aca="false">MID(D1190,8,1)</f>
        <v>4</v>
      </c>
      <c r="H1190" s="0" t="n">
        <v>1</v>
      </c>
    </row>
    <row r="1191" customFormat="false" ht="15" hidden="false" customHeight="true" outlineLevel="0" collapsed="false">
      <c r="A1191" s="0" t="s">
        <v>1436</v>
      </c>
      <c r="B1191" s="0" t="n">
        <v>5</v>
      </c>
      <c r="C1191" s="0" t="str">
        <f aca="false">MID(A1191,4,3)</f>
        <v>WOL</v>
      </c>
      <c r="D1191" s="0" t="str">
        <f aca="false">LEFT(A1191,18)</f>
        <v>PX-WOL-4A-5659-050</v>
      </c>
      <c r="E1191" s="0" t="str">
        <f aca="false">RIGHT(A1191,1)</f>
        <v>C</v>
      </c>
      <c r="F1191" s="0" t="s">
        <v>782</v>
      </c>
      <c r="G1191" s="0" t="str">
        <f aca="false">MID(D1191,8,1)</f>
        <v>4</v>
      </c>
      <c r="H1191" s="0" t="n">
        <v>1</v>
      </c>
    </row>
    <row r="1192" customFormat="false" ht="15" hidden="false" customHeight="true" outlineLevel="0" collapsed="false">
      <c r="A1192" s="0" t="s">
        <v>1437</v>
      </c>
      <c r="B1192" s="0" t="n">
        <v>5</v>
      </c>
      <c r="C1192" s="0" t="str">
        <f aca="false">MID(A1192,4,3)</f>
        <v>WOL</v>
      </c>
      <c r="D1192" s="0" t="str">
        <f aca="false">LEFT(A1192,18)</f>
        <v>PX-WOL-4A-5659-050</v>
      </c>
      <c r="E1192" s="0" t="str">
        <f aca="false">RIGHT(A1192,1)</f>
        <v>D</v>
      </c>
      <c r="F1192" s="0" t="s">
        <v>782</v>
      </c>
      <c r="G1192" s="0" t="str">
        <f aca="false">MID(D1192,8,1)</f>
        <v>4</v>
      </c>
      <c r="H1192" s="0" t="n">
        <v>1</v>
      </c>
    </row>
    <row r="1193" customFormat="false" ht="15" hidden="false" customHeight="true" outlineLevel="0" collapsed="false">
      <c r="A1193" s="0" t="s">
        <v>1438</v>
      </c>
      <c r="B1193" s="0" t="n">
        <v>5</v>
      </c>
      <c r="C1193" s="0" t="str">
        <f aca="false">MID(A1193,4,3)</f>
        <v>WOL</v>
      </c>
      <c r="D1193" s="0" t="str">
        <f aca="false">LEFT(A1193,18)</f>
        <v>PX-WOL-4A-5659-050</v>
      </c>
      <c r="E1193" s="0" t="str">
        <f aca="false">RIGHT(A1193,1)</f>
        <v>E</v>
      </c>
      <c r="F1193" s="0" t="s">
        <v>782</v>
      </c>
      <c r="G1193" s="0" t="str">
        <f aca="false">MID(D1193,8,1)</f>
        <v>4</v>
      </c>
      <c r="H1193" s="0" t="n">
        <v>1</v>
      </c>
    </row>
    <row r="1194" customFormat="false" ht="15" hidden="false" customHeight="true" outlineLevel="0" collapsed="false">
      <c r="A1194" s="0" t="s">
        <v>1439</v>
      </c>
      <c r="B1194" s="0" t="n">
        <v>5</v>
      </c>
      <c r="C1194" s="0" t="str">
        <f aca="false">MID(A1194,4,3)</f>
        <v>WOL</v>
      </c>
      <c r="D1194" s="0" t="str">
        <f aca="false">LEFT(A1194,18)</f>
        <v>PX-WOL-4A-5659-100</v>
      </c>
      <c r="E1194" s="0" t="str">
        <f aca="false">RIGHT(A1194,1)</f>
        <v>A</v>
      </c>
      <c r="F1194" s="0" t="s">
        <v>782</v>
      </c>
      <c r="G1194" s="0" t="str">
        <f aca="false">MID(D1194,8,1)</f>
        <v>4</v>
      </c>
      <c r="H1194" s="0" t="n">
        <v>1</v>
      </c>
    </row>
    <row r="1195" customFormat="false" ht="15" hidden="false" customHeight="true" outlineLevel="0" collapsed="false">
      <c r="A1195" s="0" t="s">
        <v>1440</v>
      </c>
      <c r="B1195" s="0" t="n">
        <v>5</v>
      </c>
      <c r="C1195" s="0" t="str">
        <f aca="false">MID(A1195,4,3)</f>
        <v>WOL</v>
      </c>
      <c r="D1195" s="0" t="str">
        <f aca="false">LEFT(A1195,18)</f>
        <v>PX-WOL-4A-5659-100</v>
      </c>
      <c r="E1195" s="0" t="str">
        <f aca="false">RIGHT(A1195,1)</f>
        <v>B</v>
      </c>
      <c r="F1195" s="0" t="s">
        <v>782</v>
      </c>
      <c r="G1195" s="0" t="str">
        <f aca="false">MID(D1195,8,1)</f>
        <v>4</v>
      </c>
      <c r="H1195" s="0" t="n">
        <v>1</v>
      </c>
    </row>
    <row r="1196" customFormat="false" ht="15" hidden="false" customHeight="true" outlineLevel="0" collapsed="false">
      <c r="A1196" s="0" t="s">
        <v>1441</v>
      </c>
      <c r="B1196" s="0" t="n">
        <v>5</v>
      </c>
      <c r="C1196" s="0" t="str">
        <f aca="false">MID(A1196,4,3)</f>
        <v>WOL</v>
      </c>
      <c r="D1196" s="0" t="str">
        <f aca="false">LEFT(A1196,18)</f>
        <v>PX-WOL-4A-5659-100</v>
      </c>
      <c r="E1196" s="0" t="str">
        <f aca="false">RIGHT(A1196,1)</f>
        <v>C</v>
      </c>
      <c r="F1196" s="0" t="s">
        <v>782</v>
      </c>
      <c r="G1196" s="0" t="str">
        <f aca="false">MID(D1196,8,1)</f>
        <v>4</v>
      </c>
      <c r="H1196" s="0" t="n">
        <v>1</v>
      </c>
    </row>
    <row r="1197" customFormat="false" ht="15" hidden="false" customHeight="true" outlineLevel="0" collapsed="false">
      <c r="A1197" s="0" t="s">
        <v>1442</v>
      </c>
      <c r="B1197" s="0" t="n">
        <v>5</v>
      </c>
      <c r="C1197" s="0" t="str">
        <f aca="false">MID(A1197,4,3)</f>
        <v>WOL</v>
      </c>
      <c r="D1197" s="0" t="str">
        <f aca="false">LEFT(A1197,18)</f>
        <v>PX-WOL-4A-5659-100</v>
      </c>
      <c r="E1197" s="0" t="str">
        <f aca="false">RIGHT(A1197,1)</f>
        <v>D</v>
      </c>
      <c r="F1197" s="0" t="s">
        <v>782</v>
      </c>
      <c r="G1197" s="0" t="str">
        <f aca="false">MID(D1197,8,1)</f>
        <v>4</v>
      </c>
      <c r="H1197" s="0" t="n">
        <v>1</v>
      </c>
    </row>
    <row r="1198" customFormat="false" ht="15" hidden="false" customHeight="true" outlineLevel="0" collapsed="false">
      <c r="A1198" s="0" t="s">
        <v>1443</v>
      </c>
      <c r="B1198" s="0" t="n">
        <v>5</v>
      </c>
      <c r="C1198" s="0" t="str">
        <f aca="false">MID(A1198,4,3)</f>
        <v>WOL</v>
      </c>
      <c r="D1198" s="0" t="str">
        <f aca="false">LEFT(A1198,18)</f>
        <v>PX-WOL-4A-5659-100</v>
      </c>
      <c r="E1198" s="0" t="str">
        <f aca="false">RIGHT(A1198,1)</f>
        <v>E</v>
      </c>
      <c r="F1198" s="0" t="s">
        <v>782</v>
      </c>
      <c r="G1198" s="0" t="str">
        <f aca="false">MID(D1198,8,1)</f>
        <v>4</v>
      </c>
      <c r="H1198" s="0" t="n">
        <v>1</v>
      </c>
    </row>
    <row r="1199" customFormat="false" ht="15" hidden="false" customHeight="true" outlineLevel="0" collapsed="false">
      <c r="A1199" s="0" t="s">
        <v>1444</v>
      </c>
      <c r="B1199" s="0" t="n">
        <v>6</v>
      </c>
      <c r="C1199" s="0" t="str">
        <f aca="false">MID(A1199,4,4)</f>
        <v>1401</v>
      </c>
      <c r="D1199" s="0" t="s">
        <v>1445</v>
      </c>
      <c r="E1199" s="0" t="str">
        <f aca="false">RIGHT(A1199,3)</f>
        <v>000</v>
      </c>
      <c r="F1199" s="0" t="s">
        <v>493</v>
      </c>
      <c r="G1199" s="1" t="s">
        <v>1446</v>
      </c>
      <c r="H1199" s="0" t="n">
        <v>1</v>
      </c>
    </row>
    <row r="1200" customFormat="false" ht="15" hidden="false" customHeight="true" outlineLevel="0" collapsed="false">
      <c r="A1200" s="0" t="s">
        <v>1447</v>
      </c>
      <c r="B1200" s="0" t="n">
        <v>6</v>
      </c>
      <c r="C1200" s="0" t="str">
        <f aca="false">MID(A1200,4,4)</f>
        <v>1401</v>
      </c>
      <c r="D1200" s="0" t="s">
        <v>1445</v>
      </c>
      <c r="E1200" s="0" t="str">
        <f aca="false">RIGHT(A1200,3)</f>
        <v>025</v>
      </c>
      <c r="F1200" s="0" t="s">
        <v>493</v>
      </c>
      <c r="G1200" s="1" t="s">
        <v>1446</v>
      </c>
      <c r="H1200" s="0" t="n">
        <v>1</v>
      </c>
    </row>
    <row r="1201" customFormat="false" ht="15" hidden="false" customHeight="true" outlineLevel="0" collapsed="false">
      <c r="A1201" s="0" t="s">
        <v>1448</v>
      </c>
      <c r="B1201" s="0" t="n">
        <v>6</v>
      </c>
      <c r="C1201" s="0" t="str">
        <f aca="false">MID(A1201,4,4)</f>
        <v>1401</v>
      </c>
      <c r="D1201" s="0" t="s">
        <v>1445</v>
      </c>
      <c r="E1201" s="0" t="str">
        <f aca="false">RIGHT(A1201,3)</f>
        <v>050</v>
      </c>
      <c r="F1201" s="0" t="s">
        <v>493</v>
      </c>
      <c r="G1201" s="1" t="s">
        <v>1446</v>
      </c>
      <c r="H1201" s="0" t="n">
        <v>1</v>
      </c>
    </row>
    <row r="1202" customFormat="false" ht="15" hidden="false" customHeight="true" outlineLevel="0" collapsed="false">
      <c r="A1202" s="0" t="s">
        <v>1449</v>
      </c>
      <c r="B1202" s="0" t="n">
        <v>6</v>
      </c>
      <c r="C1202" s="0" t="str">
        <f aca="false">MID(A1202,4,4)</f>
        <v>1401</v>
      </c>
      <c r="D1202" s="0" t="s">
        <v>1445</v>
      </c>
      <c r="E1202" s="0" t="str">
        <f aca="false">RIGHT(A1202,3)</f>
        <v>075</v>
      </c>
      <c r="F1202" s="0" t="s">
        <v>493</v>
      </c>
      <c r="G1202" s="1" t="s">
        <v>1446</v>
      </c>
      <c r="H1202" s="0" t="n">
        <v>1</v>
      </c>
    </row>
    <row r="1203" customFormat="false" ht="15" hidden="false" customHeight="true" outlineLevel="0" collapsed="false">
      <c r="A1203" s="0" t="s">
        <v>1450</v>
      </c>
      <c r="B1203" s="0" t="n">
        <v>6</v>
      </c>
      <c r="C1203" s="0" t="str">
        <f aca="false">MID(A1203,4,4)</f>
        <v>1401</v>
      </c>
      <c r="D1203" s="0" t="s">
        <v>1445</v>
      </c>
      <c r="E1203" s="0" t="str">
        <f aca="false">RIGHT(A1203,3)</f>
        <v>100</v>
      </c>
      <c r="F1203" s="0" t="s">
        <v>493</v>
      </c>
      <c r="G1203" s="1" t="s">
        <v>1446</v>
      </c>
      <c r="H1203" s="0" t="n">
        <v>1</v>
      </c>
    </row>
    <row r="1204" customFormat="false" ht="15" hidden="false" customHeight="true" outlineLevel="0" collapsed="false">
      <c r="A1204" s="0" t="s">
        <v>1451</v>
      </c>
      <c r="B1204" s="0" t="n">
        <v>6</v>
      </c>
      <c r="C1204" s="0" t="str">
        <f aca="false">MID(A1204,4,4)</f>
        <v>1401</v>
      </c>
      <c r="D1204" s="0" t="s">
        <v>1445</v>
      </c>
      <c r="E1204" s="0" t="str">
        <f aca="false">RIGHT(A1204,3)</f>
        <v>125</v>
      </c>
      <c r="F1204" s="0" t="s">
        <v>493</v>
      </c>
      <c r="G1204" s="1" t="s">
        <v>1446</v>
      </c>
      <c r="H1204" s="0" t="n">
        <v>1</v>
      </c>
    </row>
    <row r="1205" customFormat="false" ht="15" hidden="false" customHeight="true" outlineLevel="0" collapsed="false">
      <c r="A1205" s="0" t="s">
        <v>1452</v>
      </c>
      <c r="B1205" s="0" t="n">
        <v>6</v>
      </c>
      <c r="C1205" s="0" t="str">
        <f aca="false">MID(A1205,4,4)</f>
        <v>1401</v>
      </c>
      <c r="D1205" s="0" t="s">
        <v>1445</v>
      </c>
      <c r="E1205" s="0" t="str">
        <f aca="false">RIGHT(A1205,3)</f>
        <v>150</v>
      </c>
      <c r="F1205" s="0" t="s">
        <v>493</v>
      </c>
      <c r="G1205" s="1" t="s">
        <v>1446</v>
      </c>
      <c r="H1205" s="0" t="n">
        <v>1</v>
      </c>
    </row>
    <row r="1206" customFormat="false" ht="15" hidden="false" customHeight="true" outlineLevel="0" collapsed="false">
      <c r="A1206" s="0" t="s">
        <v>1453</v>
      </c>
      <c r="B1206" s="0" t="n">
        <v>6</v>
      </c>
      <c r="C1206" s="0" t="str">
        <f aca="false">MID(A1206,4,4)</f>
        <v>1401</v>
      </c>
      <c r="D1206" s="0" t="s">
        <v>1445</v>
      </c>
      <c r="E1206" s="0" t="str">
        <f aca="false">RIGHT(A1206,3)</f>
        <v>175</v>
      </c>
      <c r="F1206" s="0" t="s">
        <v>493</v>
      </c>
      <c r="G1206" s="1" t="s">
        <v>1446</v>
      </c>
      <c r="H1206" s="0" t="n">
        <v>1</v>
      </c>
    </row>
    <row r="1207" customFormat="false" ht="15" hidden="false" customHeight="true" outlineLevel="0" collapsed="false">
      <c r="A1207" s="0" t="s">
        <v>1454</v>
      </c>
      <c r="B1207" s="0" t="n">
        <v>6</v>
      </c>
      <c r="C1207" s="0" t="str">
        <f aca="false">MID(A1207,4,4)</f>
        <v>1401</v>
      </c>
      <c r="D1207" s="0" t="s">
        <v>1445</v>
      </c>
      <c r="E1207" s="0" t="str">
        <f aca="false">RIGHT(A1207,3)</f>
        <v>200</v>
      </c>
      <c r="F1207" s="0" t="s">
        <v>493</v>
      </c>
      <c r="G1207" s="1" t="s">
        <v>1446</v>
      </c>
      <c r="H1207" s="0" t="n">
        <v>1</v>
      </c>
    </row>
    <row r="1208" customFormat="false" ht="15" hidden="false" customHeight="true" outlineLevel="0" collapsed="false">
      <c r="A1208" s="0" t="s">
        <v>1455</v>
      </c>
      <c r="B1208" s="0" t="n">
        <v>6</v>
      </c>
      <c r="C1208" s="0" t="str">
        <f aca="false">MID(A1208,4,4)</f>
        <v>1551</v>
      </c>
      <c r="D1208" s="0" t="s">
        <v>1456</v>
      </c>
      <c r="E1208" s="0" t="str">
        <f aca="false">RIGHT(A1208,3)</f>
        <v>000</v>
      </c>
      <c r="F1208" s="0" t="s">
        <v>493</v>
      </c>
      <c r="G1208" s="1" t="s">
        <v>1446</v>
      </c>
      <c r="H1208" s="0" t="n">
        <v>1</v>
      </c>
    </row>
    <row r="1209" customFormat="false" ht="15" hidden="false" customHeight="true" outlineLevel="0" collapsed="false">
      <c r="A1209" s="0" t="s">
        <v>1457</v>
      </c>
      <c r="B1209" s="0" t="n">
        <v>6</v>
      </c>
      <c r="C1209" s="0" t="str">
        <f aca="false">MID(A1209,4,4)</f>
        <v>3538</v>
      </c>
      <c r="D1209" s="0" t="s">
        <v>1445</v>
      </c>
      <c r="E1209" s="0" t="str">
        <f aca="false">RIGHT(A1209,3)</f>
        <v>000</v>
      </c>
      <c r="F1209" s="0" t="s">
        <v>493</v>
      </c>
      <c r="G1209" s="1" t="s">
        <v>1446</v>
      </c>
      <c r="H1209" s="0" t="n">
        <v>1</v>
      </c>
    </row>
    <row r="1210" customFormat="false" ht="15" hidden="false" customHeight="false" outlineLevel="0" collapsed="false">
      <c r="A1210" s="0" t="s">
        <v>1458</v>
      </c>
      <c r="B1210" s="0" t="n">
        <v>6</v>
      </c>
      <c r="C1210" s="0" t="str">
        <f aca="false">MID(A1210,4,4)</f>
        <v>3538</v>
      </c>
      <c r="D1210" s="0" t="s">
        <v>1445</v>
      </c>
      <c r="E1210" s="0" t="str">
        <f aca="false">RIGHT(A1210,3)</f>
        <v>025</v>
      </c>
      <c r="F1210" s="0" t="s">
        <v>493</v>
      </c>
      <c r="G1210" s="1" t="s">
        <v>1446</v>
      </c>
      <c r="H1210" s="0" t="n">
        <v>1</v>
      </c>
    </row>
    <row r="1211" customFormat="false" ht="15" hidden="false" customHeight="false" outlineLevel="0" collapsed="false">
      <c r="A1211" s="1" t="s">
        <v>1459</v>
      </c>
      <c r="B1211" s="0" t="n">
        <v>6</v>
      </c>
      <c r="C1211" s="0" t="str">
        <f aca="false">MID(A1211,4,4)</f>
        <v>3538</v>
      </c>
      <c r="D1211" s="0" t="s">
        <v>1445</v>
      </c>
      <c r="E1211" s="0" t="str">
        <f aca="false">RIGHT(A1211,3)</f>
        <v>050</v>
      </c>
      <c r="F1211" s="0" t="s">
        <v>493</v>
      </c>
      <c r="G1211" s="1" t="s">
        <v>1446</v>
      </c>
      <c r="H1211" s="0" t="n">
        <v>1</v>
      </c>
    </row>
    <row r="1212" customFormat="false" ht="15" hidden="false" customHeight="false" outlineLevel="0" collapsed="false">
      <c r="A1212" s="1" t="s">
        <v>1460</v>
      </c>
      <c r="B1212" s="0" t="n">
        <v>6</v>
      </c>
      <c r="C1212" s="0" t="str">
        <f aca="false">MID(A1212,4,4)</f>
        <v>3538</v>
      </c>
      <c r="D1212" s="0" t="s">
        <v>1445</v>
      </c>
      <c r="E1212" s="0" t="str">
        <f aca="false">RIGHT(A1212,3)</f>
        <v>075</v>
      </c>
      <c r="F1212" s="0" t="s">
        <v>493</v>
      </c>
      <c r="G1212" s="1" t="s">
        <v>1446</v>
      </c>
      <c r="H1212" s="0" t="n">
        <v>1</v>
      </c>
    </row>
    <row r="1213" customFormat="false" ht="15" hidden="false" customHeight="false" outlineLevel="0" collapsed="false">
      <c r="A1213" s="1" t="s">
        <v>1461</v>
      </c>
      <c r="B1213" s="0" t="n">
        <v>6</v>
      </c>
      <c r="C1213" s="0" t="str">
        <f aca="false">MID(A1213,4,4)</f>
        <v>3548</v>
      </c>
      <c r="D1213" s="0" t="s">
        <v>1445</v>
      </c>
      <c r="E1213" s="0" t="str">
        <f aca="false">RIGHT(A1213,3)</f>
        <v>000</v>
      </c>
      <c r="F1213" s="0" t="s">
        <v>493</v>
      </c>
      <c r="G1213" s="1" t="s">
        <v>1446</v>
      </c>
      <c r="H1213" s="0" t="n">
        <v>1</v>
      </c>
    </row>
    <row r="1214" customFormat="false" ht="15" hidden="false" customHeight="false" outlineLevel="0" collapsed="false">
      <c r="A1214" s="1" t="s">
        <v>1462</v>
      </c>
      <c r="B1214" s="0" t="n">
        <v>6</v>
      </c>
      <c r="C1214" s="0" t="str">
        <f aca="false">MID(A1214,4,4)</f>
        <v>3548</v>
      </c>
      <c r="D1214" s="0" t="s">
        <v>1445</v>
      </c>
      <c r="E1214" s="0" t="str">
        <f aca="false">RIGHT(A1214,3)</f>
        <v>025</v>
      </c>
      <c r="F1214" s="0" t="s">
        <v>493</v>
      </c>
      <c r="G1214" s="1" t="s">
        <v>1446</v>
      </c>
      <c r="H1214" s="0" t="n">
        <v>1</v>
      </c>
    </row>
    <row r="1215" customFormat="false" ht="15" hidden="false" customHeight="false" outlineLevel="0" collapsed="false">
      <c r="A1215" s="1" t="s">
        <v>1463</v>
      </c>
      <c r="B1215" s="0" t="n">
        <v>6</v>
      </c>
      <c r="C1215" s="0" t="str">
        <f aca="false">MID(A1215,4,4)</f>
        <v>3548</v>
      </c>
      <c r="D1215" s="0" t="s">
        <v>1445</v>
      </c>
      <c r="E1215" s="0" t="str">
        <f aca="false">RIGHT(A1215,3)</f>
        <v>050</v>
      </c>
      <c r="F1215" s="0" t="s">
        <v>493</v>
      </c>
      <c r="G1215" s="1" t="s">
        <v>1446</v>
      </c>
      <c r="H1215" s="0" t="n">
        <v>1</v>
      </c>
    </row>
    <row r="1216" customFormat="false" ht="15" hidden="false" customHeight="false" outlineLevel="0" collapsed="false">
      <c r="A1216" s="1" t="s">
        <v>1464</v>
      </c>
      <c r="B1216" s="0" t="n">
        <v>6</v>
      </c>
      <c r="C1216" s="0" t="str">
        <f aca="false">MID(A1216,4,4)</f>
        <v>3548</v>
      </c>
      <c r="D1216" s="0" t="s">
        <v>1445</v>
      </c>
      <c r="E1216" s="0" t="str">
        <f aca="false">RIGHT(A1216,3)</f>
        <v>075</v>
      </c>
      <c r="F1216" s="0" t="s">
        <v>493</v>
      </c>
      <c r="G1216" s="1" t="s">
        <v>1446</v>
      </c>
      <c r="H1216" s="0" t="n">
        <v>1</v>
      </c>
    </row>
    <row r="1217" customFormat="false" ht="15" hidden="false" customHeight="false" outlineLevel="0" collapsed="false">
      <c r="A1217" s="1" t="s">
        <v>1465</v>
      </c>
      <c r="B1217" s="0" t="n">
        <v>6</v>
      </c>
      <c r="C1217" s="0" t="str">
        <f aca="false">MID(A1217,4,4)</f>
        <v>3549</v>
      </c>
      <c r="D1217" s="0" t="s">
        <v>1445</v>
      </c>
      <c r="E1217" s="0" t="str">
        <f aca="false">RIGHT(A1217,3)</f>
        <v>000</v>
      </c>
      <c r="F1217" s="0" t="s">
        <v>493</v>
      </c>
      <c r="G1217" s="1" t="s">
        <v>1446</v>
      </c>
      <c r="H1217" s="0" t="n">
        <v>1</v>
      </c>
    </row>
    <row r="1218" customFormat="false" ht="15" hidden="false" customHeight="false" outlineLevel="0" collapsed="false">
      <c r="A1218" s="1" t="s">
        <v>1466</v>
      </c>
      <c r="B1218" s="0" t="n">
        <v>6</v>
      </c>
      <c r="C1218" s="0" t="str">
        <f aca="false">MID(A1218,4,4)</f>
        <v>3549</v>
      </c>
      <c r="D1218" s="0" t="s">
        <v>1445</v>
      </c>
      <c r="E1218" s="0" t="str">
        <f aca="false">RIGHT(A1218,3)</f>
        <v>025</v>
      </c>
      <c r="F1218" s="0" t="s">
        <v>493</v>
      </c>
      <c r="G1218" s="1" t="s">
        <v>1446</v>
      </c>
      <c r="H1218" s="0" t="n">
        <v>1</v>
      </c>
    </row>
    <row r="1219" customFormat="false" ht="15" hidden="false" customHeight="false" outlineLevel="0" collapsed="false">
      <c r="A1219" s="1" t="s">
        <v>1467</v>
      </c>
      <c r="B1219" s="0" t="n">
        <v>6</v>
      </c>
      <c r="C1219" s="0" t="str">
        <f aca="false">MID(A1219,4,4)</f>
        <v>3549</v>
      </c>
      <c r="D1219" s="0" t="s">
        <v>1445</v>
      </c>
      <c r="E1219" s="0" t="str">
        <f aca="false">RIGHT(A1219,3)</f>
        <v>050</v>
      </c>
      <c r="F1219" s="0" t="s">
        <v>493</v>
      </c>
      <c r="G1219" s="1" t="s">
        <v>1446</v>
      </c>
      <c r="H1219" s="0" t="n">
        <v>1</v>
      </c>
    </row>
    <row r="1220" customFormat="false" ht="15" hidden="false" customHeight="false" outlineLevel="0" collapsed="false">
      <c r="A1220" s="1" t="s">
        <v>1468</v>
      </c>
      <c r="B1220" s="0" t="n">
        <v>6</v>
      </c>
      <c r="C1220" s="0" t="str">
        <f aca="false">MID(A1220,4,4)</f>
        <v>5221</v>
      </c>
      <c r="D1220" s="0" t="s">
        <v>1469</v>
      </c>
      <c r="E1220" s="0" t="str">
        <f aca="false">RIGHT(A1220,3)</f>
        <v>000</v>
      </c>
      <c r="F1220" s="0" t="s">
        <v>493</v>
      </c>
      <c r="G1220" s="1" t="s">
        <v>1446</v>
      </c>
      <c r="H1220" s="0" t="n">
        <v>1</v>
      </c>
    </row>
    <row r="1221" customFormat="false" ht="15" hidden="false" customHeight="false" outlineLevel="0" collapsed="false">
      <c r="A1221" s="1" t="s">
        <v>1470</v>
      </c>
      <c r="B1221" s="0" t="n">
        <v>6</v>
      </c>
      <c r="C1221" s="0" t="str">
        <f aca="false">MID(A1221,4,4)</f>
        <v>5501</v>
      </c>
      <c r="D1221" s="0" t="s">
        <v>1469</v>
      </c>
      <c r="E1221" s="0" t="str">
        <f aca="false">RIGHT(A1221,3)</f>
        <v>050</v>
      </c>
      <c r="F1221" s="0" t="s">
        <v>493</v>
      </c>
      <c r="G1221" s="1" t="s">
        <v>1446</v>
      </c>
      <c r="H1221" s="0" t="n">
        <v>1</v>
      </c>
    </row>
    <row r="1222" customFormat="false" ht="15" hidden="false" customHeight="false" outlineLevel="0" collapsed="false">
      <c r="A1222" s="1" t="s">
        <v>1471</v>
      </c>
      <c r="B1222" s="0" t="n">
        <v>6</v>
      </c>
      <c r="C1222" s="0" t="str">
        <f aca="false">MID(A1222,4,4)</f>
        <v>5501</v>
      </c>
      <c r="D1222" s="0" t="s">
        <v>1469</v>
      </c>
      <c r="E1222" s="0" t="str">
        <f aca="false">RIGHT(A1222,3)</f>
        <v>000</v>
      </c>
      <c r="F1222" s="0" t="s">
        <v>493</v>
      </c>
      <c r="G1222" s="1" t="s">
        <v>1446</v>
      </c>
      <c r="H1222" s="0" t="n">
        <v>1</v>
      </c>
    </row>
    <row r="1223" customFormat="false" ht="15" hidden="false" customHeight="false" outlineLevel="0" collapsed="false">
      <c r="A1223" s="0" t="s">
        <v>1472</v>
      </c>
      <c r="B1223" s="0" t="n">
        <v>6</v>
      </c>
      <c r="C1223" s="0" t="str">
        <f aca="false">MID(A1223,4,4)</f>
        <v>5503</v>
      </c>
      <c r="D1223" s="0" t="s">
        <v>1469</v>
      </c>
      <c r="E1223" s="0" t="str">
        <f aca="false">RIGHT(A1223,3)</f>
        <v>000</v>
      </c>
      <c r="F1223" s="0" t="s">
        <v>493</v>
      </c>
      <c r="G1223" s="1" t="s">
        <v>1446</v>
      </c>
      <c r="H1223" s="0" t="n">
        <v>1</v>
      </c>
    </row>
    <row r="1224" customFormat="false" ht="15" hidden="false" customHeight="false" outlineLevel="0" collapsed="false">
      <c r="A1224" s="0" t="s">
        <v>1473</v>
      </c>
      <c r="B1224" s="0" t="n">
        <v>6</v>
      </c>
      <c r="C1224" s="0" t="str">
        <f aca="false">MID(A1224,4,4)</f>
        <v>5506</v>
      </c>
      <c r="D1224" s="0" t="s">
        <v>1469</v>
      </c>
      <c r="E1224" s="0" t="str">
        <f aca="false">RIGHT(A1224,3)</f>
        <v>000</v>
      </c>
      <c r="F1224" s="0" t="s">
        <v>493</v>
      </c>
      <c r="G1224" s="1" t="s">
        <v>1446</v>
      </c>
      <c r="H1224" s="0" t="n">
        <v>1</v>
      </c>
    </row>
    <row r="1225" customFormat="false" ht="15" hidden="false" customHeight="false" outlineLevel="0" collapsed="false">
      <c r="A1225" s="0" t="s">
        <v>1474</v>
      </c>
      <c r="B1225" s="0" t="n">
        <v>6</v>
      </c>
      <c r="C1225" s="0" t="str">
        <f aca="false">MID(A1225,4,4)</f>
        <v>5521</v>
      </c>
      <c r="D1225" s="0" t="s">
        <v>1469</v>
      </c>
      <c r="E1225" s="0" t="str">
        <f aca="false">RIGHT(A1225,3)</f>
        <v>055</v>
      </c>
      <c r="F1225" s="0" t="s">
        <v>493</v>
      </c>
      <c r="G1225" s="1" t="s">
        <v>1446</v>
      </c>
      <c r="H1225" s="0" t="n">
        <v>1</v>
      </c>
    </row>
    <row r="1226" customFormat="false" ht="15" hidden="false" customHeight="false" outlineLevel="0" collapsed="false">
      <c r="A1226" s="0" t="s">
        <v>1475</v>
      </c>
      <c r="B1226" s="0" t="n">
        <v>6</v>
      </c>
      <c r="C1226" s="0" t="str">
        <f aca="false">MID(A1226,4,4)</f>
        <v>5901</v>
      </c>
      <c r="D1226" s="0" t="s">
        <v>1456</v>
      </c>
      <c r="E1226" s="0" t="str">
        <f aca="false">RIGHT(A1226,3)</f>
        <v>025</v>
      </c>
      <c r="F1226" s="0" t="s">
        <v>493</v>
      </c>
      <c r="G1226" s="1" t="s">
        <v>1446</v>
      </c>
      <c r="H1226" s="0" t="n">
        <v>1</v>
      </c>
    </row>
    <row r="1227" customFormat="false" ht="15" hidden="false" customHeight="false" outlineLevel="0" collapsed="false">
      <c r="A1227" s="0" t="s">
        <v>1476</v>
      </c>
      <c r="B1227" s="0" t="n">
        <v>6</v>
      </c>
      <c r="C1227" s="0" t="str">
        <f aca="false">MID(A1227,4,4)</f>
        <v>5901</v>
      </c>
      <c r="D1227" s="0" t="s">
        <v>1477</v>
      </c>
      <c r="E1227" s="0" t="str">
        <f aca="false">RIGHT(A1227,3)</f>
        <v>000</v>
      </c>
      <c r="F1227" s="0" t="s">
        <v>493</v>
      </c>
      <c r="G1227" s="1" t="s">
        <v>1446</v>
      </c>
      <c r="H1227" s="0" t="n">
        <v>1</v>
      </c>
    </row>
    <row r="1228" customFormat="false" ht="15" hidden="false" customHeight="false" outlineLevel="0" collapsed="false">
      <c r="A1228" s="0" t="s">
        <v>1478</v>
      </c>
      <c r="B1228" s="0" t="n">
        <v>6</v>
      </c>
      <c r="C1228" s="0" t="str">
        <f aca="false">MID(A1228,4,4)</f>
        <v>5902</v>
      </c>
      <c r="D1228" s="0" t="s">
        <v>1477</v>
      </c>
      <c r="E1228" s="0" t="str">
        <f aca="false">RIGHT(A1228,3)</f>
        <v>000</v>
      </c>
      <c r="F1228" s="0" t="s">
        <v>493</v>
      </c>
      <c r="G1228" s="1" t="s">
        <v>1446</v>
      </c>
      <c r="H1228" s="0" t="n">
        <v>1</v>
      </c>
    </row>
    <row r="1229" customFormat="false" ht="15" hidden="false" customHeight="false" outlineLevel="0" collapsed="false">
      <c r="A1229" s="0" t="s">
        <v>1479</v>
      </c>
      <c r="B1229" s="0" t="n">
        <v>6</v>
      </c>
      <c r="C1229" s="0" t="str">
        <f aca="false">MID(A1229,4,4)</f>
        <v>5902</v>
      </c>
      <c r="D1229" s="0" t="s">
        <v>1477</v>
      </c>
      <c r="E1229" s="0" t="str">
        <f aca="false">RIGHT(A1229,3)</f>
        <v>025</v>
      </c>
      <c r="F1229" s="0" t="s">
        <v>493</v>
      </c>
      <c r="G1229" s="1" t="s">
        <v>1446</v>
      </c>
      <c r="H1229" s="0" t="n">
        <v>1</v>
      </c>
    </row>
    <row r="1230" customFormat="false" ht="15" hidden="false" customHeight="false" outlineLevel="0" collapsed="false">
      <c r="A1230" s="0" t="s">
        <v>1480</v>
      </c>
      <c r="B1230" s="0" t="n">
        <v>6</v>
      </c>
      <c r="C1230" s="0" t="str">
        <f aca="false">MID(A1230,4,4)</f>
        <v>5902</v>
      </c>
      <c r="D1230" s="0" t="s">
        <v>1477</v>
      </c>
      <c r="E1230" s="0" t="str">
        <f aca="false">RIGHT(A1230,3)</f>
        <v>050</v>
      </c>
      <c r="F1230" s="0" t="s">
        <v>493</v>
      </c>
      <c r="G1230" s="1" t="s">
        <v>1446</v>
      </c>
      <c r="H1230" s="0" t="n">
        <v>1</v>
      </c>
    </row>
    <row r="1231" customFormat="false" ht="15" hidden="false" customHeight="false" outlineLevel="0" collapsed="false">
      <c r="A1231" s="0" t="s">
        <v>1481</v>
      </c>
      <c r="B1231" s="0" t="n">
        <v>6</v>
      </c>
      <c r="C1231" s="0" t="str">
        <f aca="false">MID(A1231,4,4)</f>
        <v>5902</v>
      </c>
      <c r="D1231" s="0" t="s">
        <v>1477</v>
      </c>
      <c r="E1231" s="0" t="str">
        <f aca="false">RIGHT(A1231,3)</f>
        <v>075</v>
      </c>
      <c r="F1231" s="0" t="s">
        <v>493</v>
      </c>
      <c r="G1231" s="1" t="s">
        <v>1446</v>
      </c>
      <c r="H1231" s="0" t="n">
        <v>1</v>
      </c>
    </row>
    <row r="1232" customFormat="false" ht="15" hidden="false" customHeight="false" outlineLevel="0" collapsed="false">
      <c r="A1232" s="1" t="s">
        <v>1482</v>
      </c>
      <c r="B1232" s="0" t="n">
        <v>6</v>
      </c>
      <c r="C1232" s="0" t="str">
        <f aca="false">MID(A1232,4,4)</f>
        <v>5950</v>
      </c>
      <c r="D1232" s="0" t="s">
        <v>1483</v>
      </c>
      <c r="E1232" s="5" t="s">
        <v>1484</v>
      </c>
      <c r="F1232" s="0" t="s">
        <v>493</v>
      </c>
      <c r="G1232" s="1" t="s">
        <v>1446</v>
      </c>
      <c r="H1232" s="0" t="n">
        <v>1</v>
      </c>
    </row>
    <row r="1233" customFormat="false" ht="15" hidden="false" customHeight="false" outlineLevel="0" collapsed="false">
      <c r="A1233" s="0" t="s">
        <v>1485</v>
      </c>
      <c r="B1233" s="0" t="n">
        <v>6</v>
      </c>
      <c r="C1233" s="0" t="str">
        <f aca="false">MID(A1233,4,4)</f>
        <v>5951</v>
      </c>
      <c r="D1233" s="0" t="s">
        <v>1483</v>
      </c>
      <c r="E1233" s="0" t="str">
        <f aca="false">RIGHT(A1233,3)</f>
        <v>000</v>
      </c>
      <c r="F1233" s="0" t="s">
        <v>493</v>
      </c>
      <c r="G1233" s="1" t="s">
        <v>1446</v>
      </c>
      <c r="H1233" s="0" t="n">
        <v>1</v>
      </c>
    </row>
    <row r="1234" customFormat="false" ht="15" hidden="false" customHeight="false" outlineLevel="0" collapsed="false">
      <c r="A1234" s="0" t="s">
        <v>1486</v>
      </c>
      <c r="B1234" s="0" t="n">
        <v>6</v>
      </c>
      <c r="C1234" s="0" t="str">
        <f aca="false">MID(A1234,4,4)</f>
        <v>5952</v>
      </c>
      <c r="D1234" s="0" t="s">
        <v>1456</v>
      </c>
      <c r="E1234" s="0" t="str">
        <f aca="false">RIGHT(A1234,3)</f>
        <v>000</v>
      </c>
      <c r="F1234" s="0" t="s">
        <v>493</v>
      </c>
      <c r="G1234" s="1" t="s">
        <v>1446</v>
      </c>
      <c r="H1234" s="0" t="n">
        <v>1</v>
      </c>
    </row>
    <row r="1235" customFormat="false" ht="15" hidden="false" customHeight="false" outlineLevel="0" collapsed="false">
      <c r="A1235" s="0" t="s">
        <v>1487</v>
      </c>
      <c r="B1235" s="0" t="n">
        <v>6</v>
      </c>
      <c r="C1235" s="0" t="str">
        <f aca="false">MID(A1235,4,4)</f>
        <v>5952</v>
      </c>
      <c r="D1235" s="0" t="s">
        <v>1456</v>
      </c>
      <c r="E1235" s="0" t="str">
        <f aca="false">RIGHT(A1235,3)</f>
        <v>030</v>
      </c>
      <c r="F1235" s="0" t="s">
        <v>493</v>
      </c>
      <c r="G1235" s="1" t="s">
        <v>1446</v>
      </c>
      <c r="H1235" s="0" t="n">
        <v>1</v>
      </c>
    </row>
    <row r="1236" customFormat="false" ht="15" hidden="false" customHeight="false" outlineLevel="0" collapsed="false">
      <c r="A1236" s="0" t="s">
        <v>1488</v>
      </c>
      <c r="B1236" s="0" t="n">
        <v>6</v>
      </c>
      <c r="C1236" s="0" t="str">
        <f aca="false">MID(A1236,4,4)</f>
        <v>5952</v>
      </c>
      <c r="D1236" s="0" t="s">
        <v>1456</v>
      </c>
      <c r="E1236" s="0" t="str">
        <f aca="false">RIGHT(A1236,3)</f>
        <v>070</v>
      </c>
      <c r="F1236" s="0" t="s">
        <v>493</v>
      </c>
      <c r="G1236" s="1" t="s">
        <v>1446</v>
      </c>
      <c r="H1236" s="0" t="n">
        <v>1</v>
      </c>
    </row>
    <row r="1237" customFormat="false" ht="15" hidden="false" customHeight="false" outlineLevel="0" collapsed="false">
      <c r="A1237" s="0" t="s">
        <v>1489</v>
      </c>
      <c r="B1237" s="0" t="n">
        <v>6</v>
      </c>
      <c r="C1237" s="0" t="str">
        <f aca="false">MID(A1237,4,4)</f>
        <v>5953</v>
      </c>
      <c r="D1237" s="0" t="s">
        <v>1456</v>
      </c>
      <c r="E1237" s="0" t="str">
        <f aca="false">RIGHT(A1237,3)</f>
        <v>000</v>
      </c>
      <c r="F1237" s="0" t="s">
        <v>493</v>
      </c>
      <c r="G1237" s="1" t="s">
        <v>1446</v>
      </c>
      <c r="H1237" s="0" t="n">
        <v>1</v>
      </c>
    </row>
    <row r="1238" customFormat="false" ht="15" hidden="false" customHeight="false" outlineLevel="0" collapsed="false">
      <c r="A1238" s="0" t="s">
        <v>1490</v>
      </c>
      <c r="B1238" s="0" t="n">
        <v>6</v>
      </c>
      <c r="C1238" s="0" t="str">
        <f aca="false">MID(A1238,4,4)</f>
        <v>5954</v>
      </c>
      <c r="D1238" s="0" t="s">
        <v>1456</v>
      </c>
      <c r="E1238" s="0" t="str">
        <f aca="false">RIGHT(A1238,3)</f>
        <v>000</v>
      </c>
      <c r="F1238" s="0" t="s">
        <v>493</v>
      </c>
      <c r="G1238" s="1" t="s">
        <v>1446</v>
      </c>
      <c r="H1238" s="0" t="n">
        <v>1</v>
      </c>
    </row>
    <row r="1239" customFormat="false" ht="15" hidden="false" customHeight="false" outlineLevel="0" collapsed="false">
      <c r="A1239" s="0" t="s">
        <v>1491</v>
      </c>
      <c r="B1239" s="0" t="n">
        <v>6</v>
      </c>
      <c r="C1239" s="0" t="str">
        <f aca="false">MID(A1239,4,4)</f>
        <v>5954</v>
      </c>
      <c r="D1239" s="0" t="s">
        <v>1456</v>
      </c>
      <c r="E1239" s="0" t="str">
        <f aca="false">RIGHT(A1239,3)</f>
        <v>050</v>
      </c>
      <c r="F1239" s="0" t="s">
        <v>493</v>
      </c>
      <c r="G1239" s="1" t="s">
        <v>1446</v>
      </c>
      <c r="H1239" s="0" t="n">
        <v>1</v>
      </c>
    </row>
    <row r="1240" customFormat="false" ht="15" hidden="false" customHeight="false" outlineLevel="0" collapsed="false">
      <c r="A1240" s="0" t="s">
        <v>1492</v>
      </c>
      <c r="B1240" s="0" t="n">
        <v>6</v>
      </c>
      <c r="C1240" s="0" t="str">
        <f aca="false">MID(A1240,4,4)</f>
        <v>5955</v>
      </c>
      <c r="D1240" s="0" t="s">
        <v>1456</v>
      </c>
      <c r="E1240" s="0" t="str">
        <f aca="false">RIGHT(A1240,3)</f>
        <v>000</v>
      </c>
      <c r="F1240" s="0" t="s">
        <v>493</v>
      </c>
      <c r="G1240" s="1" t="s">
        <v>1446</v>
      </c>
      <c r="H1240" s="0" t="n">
        <v>1</v>
      </c>
    </row>
    <row r="1241" customFormat="false" ht="15" hidden="false" customHeight="false" outlineLevel="0" collapsed="false">
      <c r="A1241" s="0" t="s">
        <v>1493</v>
      </c>
      <c r="B1241" s="0" t="n">
        <v>6</v>
      </c>
      <c r="C1241" s="0" t="str">
        <f aca="false">MID(A1241,4,4)</f>
        <v>5955</v>
      </c>
      <c r="D1241" s="0" t="s">
        <v>1456</v>
      </c>
      <c r="E1241" s="0" t="str">
        <f aca="false">RIGHT(A1241,3)</f>
        <v>050</v>
      </c>
      <c r="F1241" s="0" t="s">
        <v>493</v>
      </c>
      <c r="G1241" s="1" t="s">
        <v>1446</v>
      </c>
      <c r="H1241" s="0" t="n">
        <v>1</v>
      </c>
    </row>
    <row r="1242" customFormat="false" ht="15" hidden="false" customHeight="false" outlineLevel="0" collapsed="false">
      <c r="A1242" s="0" t="s">
        <v>1494</v>
      </c>
      <c r="B1242" s="0" t="n">
        <v>6</v>
      </c>
      <c r="C1242" s="0" t="str">
        <f aca="false">MID(A1242,4,4)</f>
        <v>5956</v>
      </c>
      <c r="D1242" s="0" t="s">
        <v>1456</v>
      </c>
      <c r="E1242" s="0" t="str">
        <f aca="false">RIGHT(A1242,3)</f>
        <v>000</v>
      </c>
      <c r="F1242" s="0" t="s">
        <v>493</v>
      </c>
      <c r="G1242" s="1" t="s">
        <v>1446</v>
      </c>
      <c r="H1242" s="0" t="n">
        <v>1</v>
      </c>
    </row>
    <row r="1243" customFormat="false" ht="15" hidden="false" customHeight="false" outlineLevel="0" collapsed="false">
      <c r="A1243" s="0" t="s">
        <v>1495</v>
      </c>
      <c r="B1243" s="0" t="n">
        <v>7</v>
      </c>
      <c r="C1243" s="0" t="s">
        <v>1496</v>
      </c>
      <c r="D1243" s="0" t="s">
        <v>1497</v>
      </c>
      <c r="F1243" s="0" t="s">
        <v>493</v>
      </c>
      <c r="G1243" s="1" t="s">
        <v>1446</v>
      </c>
      <c r="H1243" s="0" t="n">
        <v>1</v>
      </c>
    </row>
    <row r="1244" customFormat="false" ht="15" hidden="false" customHeight="false" outlineLevel="0" collapsed="false">
      <c r="A1244" s="0" t="s">
        <v>1498</v>
      </c>
      <c r="B1244" s="0" t="n">
        <v>7</v>
      </c>
      <c r="C1244" s="0" t="s">
        <v>1496</v>
      </c>
      <c r="D1244" s="0" t="s">
        <v>1497</v>
      </c>
      <c r="F1244" s="0" t="s">
        <v>493</v>
      </c>
      <c r="G1244" s="1" t="s">
        <v>1446</v>
      </c>
      <c r="H1244" s="0" t="n">
        <v>1</v>
      </c>
    </row>
    <row r="1245" customFormat="false" ht="15" hidden="false" customHeight="false" outlineLevel="0" collapsed="false">
      <c r="A1245" s="0" t="s">
        <v>1499</v>
      </c>
      <c r="B1245" s="0" t="n">
        <v>7</v>
      </c>
      <c r="C1245" s="0" t="s">
        <v>1496</v>
      </c>
      <c r="D1245" s="0" t="s">
        <v>1497</v>
      </c>
      <c r="F1245" s="0" t="s">
        <v>493</v>
      </c>
      <c r="G1245" s="1" t="s">
        <v>1446</v>
      </c>
      <c r="H1245" s="0" t="n">
        <v>1</v>
      </c>
    </row>
    <row r="1246" customFormat="false" ht="15" hidden="false" customHeight="false" outlineLevel="0" collapsed="false">
      <c r="A1246" s="0" t="s">
        <v>1500</v>
      </c>
      <c r="B1246" s="0" t="n">
        <v>7</v>
      </c>
      <c r="C1246" s="0" t="s">
        <v>1496</v>
      </c>
      <c r="D1246" s="0" t="s">
        <v>1497</v>
      </c>
      <c r="F1246" s="0" t="s">
        <v>493</v>
      </c>
      <c r="G1246" s="1" t="s">
        <v>1446</v>
      </c>
      <c r="H1246" s="0" t="n">
        <v>1</v>
      </c>
    </row>
    <row r="1247" customFormat="false" ht="15" hidden="false" customHeight="false" outlineLevel="0" collapsed="false">
      <c r="A1247" s="0" t="s">
        <v>1501</v>
      </c>
      <c r="B1247" s="0" t="n">
        <v>7</v>
      </c>
      <c r="C1247" s="0" t="s">
        <v>1496</v>
      </c>
      <c r="D1247" s="0" t="s">
        <v>1497</v>
      </c>
      <c r="F1247" s="0" t="s">
        <v>493</v>
      </c>
      <c r="G1247" s="1" t="s">
        <v>1446</v>
      </c>
      <c r="H1247" s="0" t="n">
        <v>1</v>
      </c>
    </row>
    <row r="1248" customFormat="false" ht="15" hidden="false" customHeight="false" outlineLevel="0" collapsed="false">
      <c r="A1248" s="0" t="s">
        <v>1502</v>
      </c>
      <c r="B1248" s="0" t="n">
        <v>7</v>
      </c>
      <c r="C1248" s="0" t="s">
        <v>1496</v>
      </c>
      <c r="D1248" s="0" t="s">
        <v>1497</v>
      </c>
      <c r="F1248" s="0" t="s">
        <v>493</v>
      </c>
      <c r="G1248" s="1" t="s">
        <v>1446</v>
      </c>
      <c r="H1248" s="0" t="n">
        <v>1</v>
      </c>
    </row>
  </sheetData>
  <autoFilter ref="A1:H1248"/>
  <conditionalFormatting sqref="A270:A272 A1:A155 A274:A275 A277:A1048576 A157:A247 A249:A267 A269 A268 A273 A276 A156 E249:E1048576 E1:E247 A248 E248">
    <cfRule type="duplicateValues" priority="2" aboveAverage="0" equalAverage="0" bottom="0" percent="0" rank="0" text="" dxfId="6"/>
  </conditionalFormatting>
  <conditionalFormatting sqref="A1223:A1048576 A1189:A1210 A1:A155 A1176:A1178 A270:A272 A274:A275 A277:A1174 A157:A247 A249:A267 A269 A268 A273 A276 A156 A248">
    <cfRule type="duplicateValues" priority="3" aboveAverage="0" equalAverage="0" bottom="0" percent="0" rank="0" text="" dxfId="7"/>
    <cfRule type="duplicateValues" priority="4" aboveAverage="0" equalAverage="0" bottom="0" percent="0" rank="0" text="" dxfId="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9.14"/>
  </cols>
  <sheetData>
    <row r="1" customFormat="false" ht="15" hidden="false" customHeight="false" outlineLevel="0" collapsed="false">
      <c r="A1" s="0" t="n">
        <v>1</v>
      </c>
      <c r="B1" s="0" t="s">
        <v>1503</v>
      </c>
    </row>
    <row r="2" customFormat="false" ht="15" hidden="false" customHeight="false" outlineLevel="0" collapsed="false">
      <c r="A2" s="0" t="n">
        <v>2</v>
      </c>
      <c r="B2" s="0" t="s">
        <v>1504</v>
      </c>
    </row>
    <row r="3" customFormat="false" ht="15" hidden="false" customHeight="false" outlineLevel="0" collapsed="false">
      <c r="A3" s="0" t="n">
        <v>3</v>
      </c>
      <c r="B3" s="0" t="s">
        <v>1505</v>
      </c>
    </row>
    <row r="4" customFormat="false" ht="15" hidden="false" customHeight="false" outlineLevel="0" collapsed="false">
      <c r="A4" s="0" t="n">
        <v>4</v>
      </c>
      <c r="B4" s="0" t="s">
        <v>1506</v>
      </c>
    </row>
    <row r="5" customFormat="false" ht="15" hidden="false" customHeight="false" outlineLevel="0" collapsed="false">
      <c r="A5" s="0" t="n">
        <v>5</v>
      </c>
      <c r="B5" s="0" t="s">
        <v>1507</v>
      </c>
    </row>
    <row r="6" customFormat="false" ht="15" hidden="false" customHeight="false" outlineLevel="0" collapsed="false">
      <c r="A6" s="0" t="n">
        <v>6</v>
      </c>
      <c r="B6" s="0" t="s">
        <v>1508</v>
      </c>
    </row>
    <row r="7" customFormat="false" ht="15" hidden="false" customHeight="false" outlineLevel="0" collapsed="false">
      <c r="A7" s="0" t="n">
        <v>7</v>
      </c>
      <c r="B7" s="0" t="s">
        <v>1509</v>
      </c>
    </row>
    <row r="241" customFormat="false" ht="15" hidden="false" customHeight="true" outlineLevel="0" collapsed="false">
      <c r="H24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C62" activeCellId="0" sqref="C6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3.42"/>
    <col collapsed="false" customWidth="true" hidden="false" outlineLevel="0" max="2" min="2" style="0" width="28.57"/>
    <col collapsed="false" customWidth="true" hidden="false" outlineLevel="0" max="3" min="3" style="0" width="23.29"/>
  </cols>
  <sheetData>
    <row r="1" customFormat="false" ht="15" hidden="false" customHeight="false" outlineLevel="0" collapsed="false">
      <c r="A1" s="1" t="s">
        <v>1510</v>
      </c>
      <c r="B1" s="0" t="s">
        <v>1511</v>
      </c>
    </row>
    <row r="2" customFormat="false" ht="15" hidden="false" customHeight="false" outlineLevel="0" collapsed="false">
      <c r="A2" s="4" t="s">
        <v>1512</v>
      </c>
      <c r="B2" s="4" t="s">
        <v>765</v>
      </c>
      <c r="C2" s="0" t="str">
        <f aca="false">VLOOKUP(B2,SKU!A:A,1,0)</f>
        <v>XWOL-64-GREEN</v>
      </c>
    </row>
    <row r="3" customFormat="false" ht="15" hidden="false" customHeight="false" outlineLevel="0" collapsed="false">
      <c r="A3" s="4" t="s">
        <v>1513</v>
      </c>
      <c r="B3" s="4" t="s">
        <v>766</v>
      </c>
      <c r="C3" s="0" t="str">
        <f aca="false">VLOOKUP(B3,SKU!A:A,1,0)</f>
        <v>XWOL-64-RED</v>
      </c>
    </row>
    <row r="4" customFormat="false" ht="15" hidden="false" customHeight="false" outlineLevel="0" collapsed="false">
      <c r="A4" s="4" t="s">
        <v>1514</v>
      </c>
      <c r="B4" s="4" t="s">
        <v>767</v>
      </c>
      <c r="C4" s="0" t="str">
        <f aca="false">VLOOKUP(B4,SKU!A:A,1,0)</f>
        <v>XWOL-64-WHITE</v>
      </c>
    </row>
    <row r="5" customFormat="false" ht="15" hidden="false" customHeight="false" outlineLevel="0" collapsed="false">
      <c r="A5" s="4" t="s">
        <v>1515</v>
      </c>
      <c r="B5" s="4" t="s">
        <v>768</v>
      </c>
      <c r="C5" s="0" t="str">
        <f aca="false">VLOOKUP(B5,SKU!A:A,1,0)</f>
        <v>XWOL-64-YELLOW</v>
      </c>
    </row>
    <row r="6" customFormat="false" ht="15" hidden="false" customHeight="false" outlineLevel="0" collapsed="false">
      <c r="A6" s="4" t="s">
        <v>1516</v>
      </c>
      <c r="B6" s="4" t="s">
        <v>773</v>
      </c>
      <c r="C6" s="0" t="str">
        <f aca="false">VLOOKUP(B6,SKU!A:A,1,0)</f>
        <v>XWOL-67-GREEN</v>
      </c>
    </row>
    <row r="7" customFormat="false" ht="15" hidden="false" customHeight="false" outlineLevel="0" collapsed="false">
      <c r="A7" s="4" t="s">
        <v>1517</v>
      </c>
      <c r="B7" s="4" t="s">
        <v>774</v>
      </c>
      <c r="C7" s="0" t="str">
        <f aca="false">VLOOKUP(B7,SKU!A:A,1,0)</f>
        <v>XWOL-67-RED</v>
      </c>
    </row>
    <row r="8" customFormat="false" ht="15" hidden="false" customHeight="false" outlineLevel="0" collapsed="false">
      <c r="A8" s="4" t="s">
        <v>1518</v>
      </c>
      <c r="B8" s="4" t="s">
        <v>775</v>
      </c>
      <c r="C8" s="0" t="str">
        <f aca="false">VLOOKUP(B8,SKU!A:A,1,0)</f>
        <v>XWOL-67-WHITE</v>
      </c>
    </row>
    <row r="9" customFormat="false" ht="15" hidden="false" customHeight="false" outlineLevel="0" collapsed="false">
      <c r="A9" s="4" t="s">
        <v>1519</v>
      </c>
      <c r="B9" s="4" t="s">
        <v>776</v>
      </c>
      <c r="C9" s="0" t="str">
        <f aca="false">VLOOKUP(B9,SKU!A:A,1,0)</f>
        <v>XWOL-67-YELLOW</v>
      </c>
    </row>
    <row r="10" customFormat="false" ht="15" hidden="false" customHeight="false" outlineLevel="0" collapsed="false">
      <c r="A10" s="1" t="s">
        <v>1520</v>
      </c>
      <c r="B10" s="0" t="s">
        <v>347</v>
      </c>
      <c r="C10" s="0" t="str">
        <f aca="false">VLOOKUP(B10,SKU!A:A,1,0)</f>
        <v>PR-SMD-44-0143-000-SET</v>
      </c>
    </row>
    <row r="11" customFormat="false" ht="15" hidden="false" customHeight="false" outlineLevel="0" collapsed="false">
      <c r="A11" s="1" t="s">
        <v>1521</v>
      </c>
      <c r="B11" s="0" t="s">
        <v>349</v>
      </c>
      <c r="C11" s="0" t="str">
        <f aca="false">VLOOKUP(B11,SKU!A:A,1,0)</f>
        <v>PR-SMD-44-0143-070-SET</v>
      </c>
    </row>
    <row r="12" customFormat="false" ht="15" hidden="false" customHeight="false" outlineLevel="0" collapsed="false">
      <c r="A12" s="1" t="s">
        <v>1522</v>
      </c>
      <c r="B12" s="0" t="s">
        <v>351</v>
      </c>
      <c r="C12" s="0" t="str">
        <f aca="false">VLOOKUP(B12,SKU!A:A,1,0)</f>
        <v>PR-SMD-44-0144-000-SET</v>
      </c>
    </row>
    <row r="13" customFormat="false" ht="15" hidden="false" customHeight="false" outlineLevel="0" collapsed="false">
      <c r="A13" s="1" t="s">
        <v>1523</v>
      </c>
      <c r="B13" s="0" t="s">
        <v>353</v>
      </c>
      <c r="C13" s="0" t="str">
        <f aca="false">VLOOKUP(B13,SKU!A:A,1,0)</f>
        <v>PR-SMD-44-0144-070-SET</v>
      </c>
    </row>
    <row r="14" customFormat="false" ht="15" hidden="false" customHeight="false" outlineLevel="0" collapsed="false">
      <c r="A14" s="1" t="s">
        <v>1524</v>
      </c>
      <c r="B14" s="0" t="s">
        <v>126</v>
      </c>
      <c r="C14" s="0" t="str">
        <f aca="false">VLOOKUP(B14,SKU!A:A,1,0)</f>
        <v>PR-KAM-84-4806-000-SET</v>
      </c>
    </row>
    <row r="15" customFormat="false" ht="15" hidden="false" customHeight="false" outlineLevel="0" collapsed="false">
      <c r="A15" s="1" t="s">
        <v>1525</v>
      </c>
      <c r="B15" s="0" t="s">
        <v>127</v>
      </c>
      <c r="C15" s="0" t="str">
        <f aca="false">VLOOKUP(B15,SKU!A:A,1,0)</f>
        <v>PR-KAM-87-4806-000-SET</v>
      </c>
    </row>
    <row r="16" customFormat="false" ht="15" hidden="false" customHeight="false" outlineLevel="0" collapsed="false">
      <c r="A16" s="1" t="s">
        <v>1526</v>
      </c>
      <c r="B16" s="0" t="s">
        <v>607</v>
      </c>
      <c r="C16" s="0" t="str">
        <f aca="false">VLOOKUP(B16,SKU!A:A,1,0)</f>
        <v>PTMZ003-B-P-N</v>
      </c>
    </row>
    <row r="17" customFormat="false" ht="15" hidden="false" customHeight="false" outlineLevel="0" collapsed="false">
      <c r="A17" s="1" t="s">
        <v>1527</v>
      </c>
      <c r="B17" s="0" t="s">
        <v>553</v>
      </c>
      <c r="C17" s="0" t="str">
        <f aca="false">VLOOKUP(B17,SKU!A:A,1,0)</f>
        <v>PISU033-S-0-N</v>
      </c>
    </row>
    <row r="18" customFormat="false" ht="15" hidden="false" customHeight="false" outlineLevel="0" collapsed="false">
      <c r="A18" s="1" t="s">
        <v>1528</v>
      </c>
      <c r="B18" s="0" t="s">
        <v>554</v>
      </c>
      <c r="C18" s="0" t="str">
        <f aca="false">VLOOKUP(B18,SKU!A:A,1,0)</f>
        <v>PISU034-B-0-N</v>
      </c>
    </row>
    <row r="19" customFormat="false" ht="15" hidden="false" customHeight="false" outlineLevel="0" collapsed="false">
      <c r="A19" s="1" t="s">
        <v>1529</v>
      </c>
      <c r="B19" s="0" t="s">
        <v>577</v>
      </c>
      <c r="C19" s="0" t="str">
        <f aca="false">VLOOKUP(B19,SKU!A:A,1,0)</f>
        <v>PLAD030-S-0-H</v>
      </c>
    </row>
    <row r="20" customFormat="false" ht="15" hidden="false" customHeight="false" outlineLevel="0" collapsed="false">
      <c r="A20" s="1" t="s">
        <v>1530</v>
      </c>
      <c r="B20" s="0" t="s">
        <v>578</v>
      </c>
      <c r="C20" s="0" t="str">
        <f aca="false">VLOOKUP(B20,SKU!A:A,1,0)</f>
        <v>PLAD031-B-0-H</v>
      </c>
    </row>
    <row r="21" customFormat="false" ht="15" hidden="false" customHeight="false" outlineLevel="0" collapsed="false">
      <c r="A21" s="1" t="s">
        <v>1531</v>
      </c>
      <c r="B21" s="0" t="s">
        <v>574</v>
      </c>
      <c r="C21" s="0" t="str">
        <f aca="false">VLOOKUP(B21,SKU!A:A,1,0)</f>
        <v>PLAD007-B-0-H</v>
      </c>
    </row>
    <row r="22" customFormat="false" ht="15" hidden="false" customHeight="false" outlineLevel="0" collapsed="false">
      <c r="A22" s="1" t="s">
        <v>1532</v>
      </c>
      <c r="B22" s="0" t="s">
        <v>570</v>
      </c>
      <c r="C22" s="0" t="str">
        <f aca="false">VLOOKUP(B22,SKU!A:A,1,0)</f>
        <v>PLAD006-S-0-H</v>
      </c>
    </row>
    <row r="23" customFormat="false" ht="15" hidden="false" customHeight="false" outlineLevel="0" collapsed="false">
      <c r="A23" s="1" t="s">
        <v>1533</v>
      </c>
      <c r="B23" s="0" t="s">
        <v>556</v>
      </c>
      <c r="C23" s="0" t="str">
        <f aca="false">VLOOKUP(B23,SKU!A:A,1,0)</f>
        <v>PKAM001-S-0-N</v>
      </c>
    </row>
    <row r="24" customFormat="false" ht="15" hidden="false" customHeight="false" outlineLevel="0" collapsed="false">
      <c r="A24" s="1" t="s">
        <v>1534</v>
      </c>
      <c r="B24" s="0" t="s">
        <v>558</v>
      </c>
      <c r="C24" s="0" t="str">
        <f aca="false">VLOOKUP(B24,SKU!A:A,1,0)</f>
        <v>PKAM002-B-0-N</v>
      </c>
    </row>
    <row r="25" customFormat="false" ht="15" hidden="false" customHeight="false" outlineLevel="0" collapsed="false">
      <c r="A25" s="1" t="s">
        <v>1535</v>
      </c>
      <c r="B25" s="0" t="s">
        <v>323</v>
      </c>
      <c r="C25" s="0" t="str">
        <f aca="false">VLOOKUP(B25,SKU!A:A,1,0)</f>
        <v>PR-SEN-44-4125-000-SET</v>
      </c>
    </row>
    <row r="26" customFormat="false" ht="15" hidden="false" customHeight="false" outlineLevel="0" collapsed="false">
      <c r="A26" s="1" t="s">
        <v>1536</v>
      </c>
      <c r="B26" s="0" t="s">
        <v>649</v>
      </c>
      <c r="C26" s="0" t="str">
        <f aca="false">VLOOKUP(B26,SKU!A:A,1,0)</f>
        <v>JDAE004-G-P-0</v>
      </c>
    </row>
    <row r="27" customFormat="false" ht="15" hidden="false" customHeight="false" outlineLevel="0" collapsed="false">
      <c r="A27" s="1" t="s">
        <v>1537</v>
      </c>
      <c r="B27" s="0" t="s">
        <v>738</v>
      </c>
      <c r="C27" s="0" t="str">
        <f aca="false">VLOOKUP(B27,SKU!A:A,1,0)</f>
        <v>JZIL001-G-P-0</v>
      </c>
    </row>
    <row r="28" customFormat="false" ht="15" hidden="false" customHeight="false" outlineLevel="0" collapsed="false">
      <c r="A28" s="1" t="s">
        <v>1538</v>
      </c>
      <c r="B28" s="0" t="s">
        <v>742</v>
      </c>
      <c r="C28" s="0" t="str">
        <f aca="false">VLOOKUP(B28,SKU!A:A,1,0)</f>
        <v>JZIL001-G-P-2</v>
      </c>
    </row>
    <row r="29" customFormat="false" ht="15" hidden="false" customHeight="false" outlineLevel="0" collapsed="false">
      <c r="A29" s="1" t="s">
        <v>1539</v>
      </c>
      <c r="B29" s="0" t="s">
        <v>740</v>
      </c>
      <c r="C29" s="0" t="str">
        <f aca="false">VLOOKUP(B29,SKU!A:A,1,0)</f>
        <v>JZIL001-G-P-1</v>
      </c>
    </row>
    <row r="30" customFormat="false" ht="15" hidden="false" customHeight="false" outlineLevel="0" collapsed="false">
      <c r="A30" s="1" t="s">
        <v>1540</v>
      </c>
      <c r="B30" s="0" t="s">
        <v>741</v>
      </c>
      <c r="C30" s="0" t="str">
        <f aca="false">VLOOKUP(B30,SKU!A:A,1,0)</f>
        <v>JZIL001-G-S-1</v>
      </c>
    </row>
    <row r="31" customFormat="false" ht="15" hidden="false" customHeight="false" outlineLevel="0" collapsed="false">
      <c r="A31" s="1" t="s">
        <v>1541</v>
      </c>
      <c r="B31" s="0" t="s">
        <v>743</v>
      </c>
      <c r="C31" s="0" t="str">
        <f aca="false">VLOOKUP(B31,SKU!A:A,1,0)</f>
        <v>JZIL001-G-S-2</v>
      </c>
    </row>
    <row r="32" customFormat="false" ht="15" hidden="false" customHeight="false" outlineLevel="0" collapsed="false">
      <c r="A32" s="1" t="s">
        <v>1542</v>
      </c>
      <c r="B32" s="0" t="s">
        <v>744</v>
      </c>
      <c r="C32" s="0" t="str">
        <f aca="false">VLOOKUP(B32,SKU!A:A,1,0)</f>
        <v>JZIL002-G-P-0</v>
      </c>
    </row>
    <row r="33" customFormat="false" ht="15" hidden="false" customHeight="false" outlineLevel="0" collapsed="false">
      <c r="A33" s="1" t="s">
        <v>1543</v>
      </c>
      <c r="B33" s="0" t="s">
        <v>746</v>
      </c>
      <c r="C33" s="0" t="str">
        <f aca="false">VLOOKUP(B33,SKU!A:A,1,0)</f>
        <v>JZIL002-G-P-1</v>
      </c>
    </row>
    <row r="34" customFormat="false" ht="15" hidden="false" customHeight="false" outlineLevel="0" collapsed="false">
      <c r="A34" s="1" t="s">
        <v>1544</v>
      </c>
      <c r="B34" s="0" t="s">
        <v>748</v>
      </c>
      <c r="C34" s="0" t="str">
        <f aca="false">VLOOKUP(B34,SKU!A:A,1,0)</f>
        <v>JZIL002-G-P-2</v>
      </c>
    </row>
    <row r="35" customFormat="false" ht="15" hidden="false" customHeight="false" outlineLevel="0" collapsed="false">
      <c r="A35" s="1" t="s">
        <v>1545</v>
      </c>
      <c r="B35" s="0" t="s">
        <v>747</v>
      </c>
      <c r="C35" s="0" t="str">
        <f aca="false">VLOOKUP(B35,SKU!A:A,1,0)</f>
        <v>JZIL002-G-S-1</v>
      </c>
    </row>
    <row r="36" customFormat="false" ht="15" hidden="false" customHeight="false" outlineLevel="0" collapsed="false">
      <c r="A36" s="1" t="s">
        <v>1546</v>
      </c>
      <c r="B36" s="0" t="s">
        <v>749</v>
      </c>
      <c r="C36" s="0" t="str">
        <f aca="false">VLOOKUP(B36,SKU!A:A,1,0)</f>
        <v>JZIL002-G-S-2</v>
      </c>
    </row>
    <row r="37" customFormat="false" ht="15" hidden="false" customHeight="false" outlineLevel="0" collapsed="false">
      <c r="A37" s="1" t="s">
        <v>1547</v>
      </c>
      <c r="B37" s="0" t="s">
        <v>664</v>
      </c>
      <c r="C37" s="0" t="str">
        <f aca="false">VLOOKUP(B37,SKU!A:A,1,0)</f>
        <v>JKAM001-G-P-2</v>
      </c>
    </row>
    <row r="38" customFormat="false" ht="15" hidden="false" customHeight="false" outlineLevel="0" collapsed="false">
      <c r="A38" s="1" t="s">
        <v>1548</v>
      </c>
      <c r="B38" s="0" t="s">
        <v>665</v>
      </c>
      <c r="C38" s="0" t="str">
        <f aca="false">VLOOKUP(B38,SKU!A:A,1,0)</f>
        <v>JKAM001-G-S-2</v>
      </c>
    </row>
    <row r="39" customFormat="false" ht="15" hidden="false" customHeight="false" outlineLevel="0" collapsed="false">
      <c r="A39" s="1" t="s">
        <v>1549</v>
      </c>
      <c r="B39" s="0" t="s">
        <v>699</v>
      </c>
      <c r="C39" s="0" t="str">
        <f aca="false">VLOOKUP(B39,SKU!A:A,1,0)</f>
        <v>JMTZ003-G-P-1</v>
      </c>
    </row>
    <row r="40" customFormat="false" ht="15" hidden="false" customHeight="false" outlineLevel="0" collapsed="false">
      <c r="A40" s="1" t="s">
        <v>1550</v>
      </c>
      <c r="B40" s="0" t="s">
        <v>753</v>
      </c>
      <c r="C40" s="0" t="str">
        <f aca="false">VLOOKUP(B40,SKU!A:A,1,0)</f>
        <v>XLAD-53</v>
      </c>
    </row>
    <row r="41" customFormat="false" ht="15" hidden="false" customHeight="false" outlineLevel="0" collapsed="false">
      <c r="A41" s="1" t="s">
        <v>1551</v>
      </c>
      <c r="B41" s="0" t="s">
        <v>753</v>
      </c>
      <c r="C41" s="0" t="str">
        <f aca="false">VLOOKUP(B41,SKU!A:A,1,0)</f>
        <v>XLAD-53</v>
      </c>
    </row>
    <row r="42" customFormat="false" ht="15" hidden="false" customHeight="false" outlineLevel="0" collapsed="false">
      <c r="A42" s="1" t="s">
        <v>1552</v>
      </c>
      <c r="B42" s="4" t="s">
        <v>777</v>
      </c>
      <c r="C42" s="0" t="str">
        <f aca="false">VLOOKUP(B42,SKU!A:A,1,0)</f>
        <v>XYAM-110</v>
      </c>
    </row>
    <row r="43" customFormat="false" ht="15" hidden="false" customHeight="false" outlineLevel="0" collapsed="false">
      <c r="A43" s="1" t="s">
        <v>1553</v>
      </c>
      <c r="B43" s="0" t="s">
        <v>804</v>
      </c>
      <c r="C43" s="0" t="str">
        <f aca="false">VLOOKUP(B43,SKU!A:A,1,0)</f>
        <v>PX-CUM-1R-0812-000</v>
      </c>
    </row>
    <row r="44" customFormat="false" ht="15" hidden="false" customHeight="false" outlineLevel="0" collapsed="false">
      <c r="A44" s="1" t="s">
        <v>1554</v>
      </c>
      <c r="B44" s="0" t="s">
        <v>804</v>
      </c>
      <c r="C44" s="0" t="str">
        <f aca="false">VLOOKUP(B44,SKU!A:A,1,0)</f>
        <v>PX-CUM-1R-0812-000</v>
      </c>
    </row>
    <row r="45" customFormat="false" ht="15" hidden="false" customHeight="false" outlineLevel="0" collapsed="false">
      <c r="A45" s="1" t="s">
        <v>1555</v>
      </c>
      <c r="B45" s="0" t="s">
        <v>1043</v>
      </c>
      <c r="C45" s="0" t="str">
        <f aca="false">VLOOKUP(B45,SKU!A:A,1,0)</f>
        <v>PX-LAD-4A-2805-100-B</v>
      </c>
    </row>
    <row r="46" customFormat="false" ht="15" hidden="false" customHeight="false" outlineLevel="0" collapsed="false">
      <c r="A46" s="1" t="s">
        <v>1556</v>
      </c>
      <c r="B46" s="0" t="s">
        <v>1023</v>
      </c>
      <c r="C46" s="0" t="str">
        <f aca="false">VLOOKUP(B46,SKU!A:A,1,0)</f>
        <v>PX-LAD-4A-2805-025</v>
      </c>
    </row>
    <row r="47" customFormat="false" ht="15" hidden="false" customHeight="false" outlineLevel="0" collapsed="false">
      <c r="A47" s="1" t="s">
        <v>1557</v>
      </c>
      <c r="B47" s="0" t="s">
        <v>899</v>
      </c>
      <c r="C47" s="0" t="str">
        <f aca="false">VLOOKUP(B47,SKU!A:A,1,0)</f>
        <v>PX-LAD-4A-2802-000-C</v>
      </c>
    </row>
    <row r="48" customFormat="false" ht="15" hidden="false" customHeight="false" outlineLevel="0" collapsed="false">
      <c r="A48" s="1" t="s">
        <v>1558</v>
      </c>
      <c r="B48" s="0" t="s">
        <v>901</v>
      </c>
      <c r="C48" s="0" t="str">
        <f aca="false">VLOOKUP(B48,SKU!A:A,1,0)</f>
        <v>PX-LAD-4A-2802-000-E</v>
      </c>
    </row>
    <row r="49" customFormat="false" ht="15" hidden="false" customHeight="false" outlineLevel="0" collapsed="false">
      <c r="A49" s="1" t="s">
        <v>1559</v>
      </c>
      <c r="B49" s="0" t="s">
        <v>911</v>
      </c>
      <c r="C49" s="0" t="str">
        <f aca="false">VLOOKUP(B49,SKU!A:A,1,0)</f>
        <v>PX-LAD-4A-2802-040-C</v>
      </c>
    </row>
    <row r="50" customFormat="false" ht="15" hidden="false" customHeight="false" outlineLevel="0" collapsed="false">
      <c r="A50" s="1" t="s">
        <v>1560</v>
      </c>
      <c r="B50" s="0" t="s">
        <v>913</v>
      </c>
      <c r="C50" s="0" t="str">
        <f aca="false">VLOOKUP(B50,SKU!A:A,1,0)</f>
        <v>PX-LAD-4A-2802-040-E</v>
      </c>
    </row>
    <row r="51" customFormat="false" ht="15" hidden="false" customHeight="false" outlineLevel="0" collapsed="false">
      <c r="A51" s="1" t="s">
        <v>1561</v>
      </c>
      <c r="B51" s="0" t="s">
        <v>916</v>
      </c>
      <c r="C51" s="0" t="str">
        <f aca="false">VLOOKUP(B51,SKU!A:A,1,0)</f>
        <v>PX-LAD-4A-2802-060-B</v>
      </c>
    </row>
    <row r="52" customFormat="false" ht="15" hidden="false" customHeight="false" outlineLevel="0" collapsed="false">
      <c r="A52" s="1" t="s">
        <v>1562</v>
      </c>
      <c r="B52" s="0" t="s">
        <v>923</v>
      </c>
      <c r="C52" s="0" t="str">
        <f aca="false">VLOOKUP(B52,SKU!A:A,1,0)</f>
        <v>PX-LAD-4A-2802-080-C</v>
      </c>
    </row>
    <row r="53" customFormat="false" ht="15" hidden="false" customHeight="false" outlineLevel="0" collapsed="false">
      <c r="A53" s="1" t="s">
        <v>1563</v>
      </c>
      <c r="B53" s="0" t="s">
        <v>925</v>
      </c>
      <c r="C53" s="0" t="str">
        <f aca="false">VLOOKUP(B53,SKU!A:A,1,0)</f>
        <v>PX-LAD-4A-2802-080-E</v>
      </c>
    </row>
    <row r="54" customFormat="false" ht="15" hidden="false" customHeight="false" outlineLevel="0" collapsed="false">
      <c r="A54" s="1" t="s">
        <v>1564</v>
      </c>
      <c r="B54" s="0" t="s">
        <v>1035</v>
      </c>
      <c r="C54" s="0" t="str">
        <f aca="false">VLOOKUP(B54,SKU!A:A,1,0)</f>
        <v>PX-LAD-4A-2805-075</v>
      </c>
    </row>
    <row r="55" customFormat="false" ht="15" hidden="false" customHeight="false" outlineLevel="0" collapsed="false">
      <c r="A55" s="1" t="s">
        <v>1565</v>
      </c>
      <c r="B55" s="0" t="s">
        <v>861</v>
      </c>
      <c r="C55" s="0" t="str">
        <f aca="false">VLOOKUP(B55,SKU!A:A,1,0)</f>
        <v>PX-DAE-4F-3548-025-2</v>
      </c>
    </row>
    <row r="56" customFormat="false" ht="15" hidden="false" customHeight="false" outlineLevel="0" collapsed="false">
      <c r="A56" s="1" t="s">
        <v>1566</v>
      </c>
      <c r="B56" s="0" t="s">
        <v>827</v>
      </c>
      <c r="C56" s="0" t="str">
        <f aca="false">VLOOKUP(B56,SKU!A:A,1,0)</f>
        <v>PX-DAE-4A-3538-000-2</v>
      </c>
    </row>
    <row r="57" customFormat="false" ht="15" hidden="false" customHeight="false" outlineLevel="0" collapsed="false">
      <c r="A57" s="1" t="s">
        <v>1567</v>
      </c>
      <c r="B57" s="0" t="s">
        <v>828</v>
      </c>
      <c r="C57" s="0" t="str">
        <f aca="false">VLOOKUP(B57,SKU!A:A,1,0)</f>
        <v>PX-DAE-4A-3538-025-2</v>
      </c>
    </row>
    <row r="58" customFormat="false" ht="15" hidden="false" customHeight="false" outlineLevel="0" collapsed="false">
      <c r="A58" s="1" t="s">
        <v>1568</v>
      </c>
      <c r="B58" s="0" t="s">
        <v>829</v>
      </c>
      <c r="C58" s="0" t="str">
        <f aca="false">VLOOKUP(B58,SKU!A:A,1,0)</f>
        <v>PX-DAE-4A-3538-050-2</v>
      </c>
    </row>
    <row r="59" customFormat="false" ht="15" hidden="false" customHeight="false" outlineLevel="0" collapsed="false">
      <c r="A59" s="1" t="s">
        <v>1569</v>
      </c>
      <c r="B59" s="0" t="s">
        <v>830</v>
      </c>
      <c r="C59" s="0" t="str">
        <f aca="false">VLOOKUP(B59,SKU!A:A,1,0)</f>
        <v>PX-DAE-4A-3538-075-2</v>
      </c>
    </row>
    <row r="60" customFormat="false" ht="15" hidden="false" customHeight="false" outlineLevel="0" collapsed="false">
      <c r="A60" s="1" t="s">
        <v>1570</v>
      </c>
      <c r="B60" s="0" t="s">
        <v>831</v>
      </c>
      <c r="C60" s="0" t="str">
        <f aca="false">VLOOKUP(B60,SKU!A:A,1,0)</f>
        <v>PX-DAE-4A-3538-100-2</v>
      </c>
    </row>
    <row r="61" customFormat="false" ht="15" hidden="false" customHeight="true" outlineLevel="0" collapsed="false">
      <c r="A61" s="1" t="s">
        <v>1571</v>
      </c>
      <c r="B61" s="0" t="s">
        <v>1498</v>
      </c>
      <c r="C61" s="0" t="str">
        <f aca="false">VLOOKUP(B61,SKU!A:A,1,0)</f>
        <v>D161</v>
      </c>
    </row>
    <row r="62" customFormat="false" ht="15" hidden="false" customHeight="true" outlineLevel="0" collapsed="false">
      <c r="A62" s="1" t="s">
        <v>1572</v>
      </c>
      <c r="B62" s="0" t="s">
        <v>1499</v>
      </c>
      <c r="C62" s="0" t="str">
        <f aca="false">VLOOKUP(B62,SKU!A:A,1,0)</f>
        <v>D162</v>
      </c>
    </row>
    <row r="63" customFormat="false" ht="15" hidden="false" customHeight="true" outlineLevel="0" collapsed="false">
      <c r="A63" s="1" t="s">
        <v>1573</v>
      </c>
      <c r="B63" s="0" t="s">
        <v>1500</v>
      </c>
      <c r="C63" s="0" t="str">
        <f aca="false">VLOOKUP(B63,SKU!A:A,1,0)</f>
        <v>D163</v>
      </c>
    </row>
    <row r="64" customFormat="false" ht="15" hidden="false" customHeight="true" outlineLevel="0" collapsed="false">
      <c r="A64" s="1" t="s">
        <v>1574</v>
      </c>
      <c r="B64" s="0" t="s">
        <v>1495</v>
      </c>
      <c r="C64" s="0" t="str">
        <f aca="false">VLOOKUP(B64,SKU!A:A,1,0)</f>
        <v>D16</v>
      </c>
    </row>
    <row r="65" customFormat="false" ht="15" hidden="false" customHeight="true" outlineLevel="0" collapsed="false">
      <c r="A65" s="1" t="s">
        <v>1575</v>
      </c>
      <c r="B65" s="0" t="s">
        <v>1502</v>
      </c>
      <c r="C65" s="0" t="str">
        <f aca="false">VLOOKUP(B65,SKU!A:A,1,0)</f>
        <v>D21S</v>
      </c>
    </row>
    <row r="66" customFormat="false" ht="15" hidden="false" customHeight="true" outlineLevel="0" collapsed="false">
      <c r="A66" s="1" t="s">
        <v>1576</v>
      </c>
      <c r="B66" s="0" t="s">
        <v>1501</v>
      </c>
      <c r="C66" s="0" t="str">
        <f aca="false">VLOOKUP(B66,SKU!A:A,1,0)</f>
        <v>D21</v>
      </c>
    </row>
  </sheetData>
  <conditionalFormatting sqref="B1:B9 A1:A1048576">
    <cfRule type="duplicateValues" priority="2" aboveAverage="0" equalAverage="0" bottom="0" percent="0" rank="0" text="" dxfId="9"/>
  </conditionalFormatting>
  <conditionalFormatting sqref="B1:B5 A2:A5 A6:B9 B42 A60">
    <cfRule type="duplicateValues" priority="3" aboveAverage="0" equalAverage="0" bottom="0" percent="0" rank="0" text="" dxfId="10"/>
    <cfRule type="duplicateValues" priority="4" aboveAverage="0" equalAverage="0" bottom="0" percent="0" rank="0" text="" dxfId="1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8.71484375" defaultRowHeight="15" customHeight="true" zeroHeight="false" outlineLevelRow="0" outlineLevelCol="0"/>
  <sheetData>
    <row r="1" customFormat="false" ht="15" hidden="false" customHeight="false" outlineLevel="0" collapsed="false">
      <c r="A1" s="0" t="s">
        <v>1577</v>
      </c>
    </row>
    <row r="2" customFormat="false" ht="15" hidden="false" customHeight="false" outlineLevel="0" collapsed="false">
      <c r="A2" s="0" t="s">
        <v>1578</v>
      </c>
    </row>
    <row r="3" customFormat="false" ht="15" hidden="false" customHeight="false" outlineLevel="0" collapsed="false">
      <c r="A3" s="0" t="s">
        <v>1579</v>
      </c>
    </row>
    <row r="4" customFormat="false" ht="15" hidden="false" customHeight="false" outlineLevel="0" collapsed="false">
      <c r="A4" s="0" t="s">
        <v>1580</v>
      </c>
    </row>
    <row r="5" customFormat="false" ht="15" hidden="false" customHeight="false" outlineLevel="0" collapsed="false">
      <c r="A5" s="0" t="s">
        <v>1581</v>
      </c>
    </row>
    <row r="6" customFormat="false" ht="15" hidden="false" customHeight="false" outlineLevel="0" collapsed="false">
      <c r="A6" s="0" t="s">
        <v>1582</v>
      </c>
    </row>
    <row r="7" customFormat="false" ht="15" hidden="false" customHeight="false" outlineLevel="0" collapsed="false">
      <c r="A7" s="0" t="s">
        <v>1583</v>
      </c>
    </row>
    <row r="8" customFormat="false" ht="15" hidden="false" customHeight="false" outlineLevel="0" collapsed="false">
      <c r="A8" s="0" t="s">
        <v>1584</v>
      </c>
    </row>
    <row r="9" customFormat="false" ht="15" hidden="false" customHeight="false" outlineLevel="0" collapsed="false">
      <c r="A9" s="0" t="s">
        <v>1585</v>
      </c>
    </row>
    <row r="10" customFormat="false" ht="15" hidden="false" customHeight="false" outlineLevel="0" collapsed="false">
      <c r="A10" s="0" t="s">
        <v>1586</v>
      </c>
    </row>
    <row r="11" customFormat="false" ht="15" hidden="false" customHeight="false" outlineLevel="0" collapsed="false">
      <c r="A11" s="0" t="s">
        <v>1587</v>
      </c>
    </row>
    <row r="12" customFormat="false" ht="15" hidden="false" customHeight="false" outlineLevel="0" collapsed="false">
      <c r="A12" s="0" t="s">
        <v>1588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2025-01-10T11:47:26Z</dcterms:created>
  <dc:creator>sto</dc:creator>
  <dc:description/>
  <dc:language>ru-RU</dc:language>
  <cp:lastModifiedBy/>
  <dcterms:modified xsi:type="dcterms:W3CDTF">2026-01-06T16:07:43Z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